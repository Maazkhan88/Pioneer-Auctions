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5e5c37bd62434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83cf5c1d6b146b2"/>
    <x:sheet xmlns:r="http://schemas.openxmlformats.org/officeDocument/2006/relationships" name="Task Plan" sheetId="2" r:id="R59ed6afdadbf4c89"/>
    <x:sheet xmlns:r="http://schemas.openxmlformats.org/officeDocument/2006/relationships" name="Detailed Backlog" sheetId="3" r:id="R355cad97e8d744ca"/>
    <x:sheet xmlns:r="http://schemas.openxmlformats.org/officeDocument/2006/relationships" name="Technology Stack" sheetId="4" r:id="Rf229b359f89841e5"/>
    <x:sheet xmlns:r="http://schemas.openxmlformats.org/officeDocument/2006/relationships" name="Roadmap" sheetId="5" r:id="Rb4b1b9fec8fd41e8"/>
    <x:sheet xmlns:r="http://schemas.openxmlformats.org/officeDocument/2006/relationships" name="Risks and Links" sheetId="6" r:id="R6833b24530b9429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%"/>
    <x:numFmt numFmtId="201" formatCode="000"/>
    <x:numFmt numFmtId="202" formatCode="0"/>
    <x:numFmt numFmtId="203" formatCode="0%"/>
  </x:numFmts>
  <x:fonts count="7">
    <x:font>
      <x:sz val="11"/>
      <x:name val="Carlito"/>
    </x:font>
    <x:font>
      <x:b/>
      <x:sz val="16"/>
      <x:color rgb="FF0F172A"/>
      <x:name val="Arial"/>
    </x:font>
    <x:font>
      <x:i/>
      <x:sz val="10"/>
      <x:color rgb="FF64748B"/>
      <x:name val="Arial"/>
    </x:font>
    <x:font>
      <x:b/>
      <x:sz val="10"/>
      <x:color rgb="FFFFFFFF"/>
      <x:name val="Arial"/>
    </x:font>
    <x:font>
      <x:b/>
      <x:sz val="10"/>
      <x:color rgb="FF0F172A"/>
      <x:name val="Arial"/>
    </x:font>
    <x:font>
      <x:b/>
      <x:sz val="11"/>
      <x:color rgb="FF3D1088"/>
      <x:name val="Arial"/>
    </x:font>
    <x:font>
      <x:sz val="10"/>
      <x:color rgb="FF0F172A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3D1088"/>
      </x:patternFill>
    </x:fill>
    <x:fill>
      <x:patternFill patternType="solid">
        <x:fgColor rgb="FFF1F5F9"/>
      </x:patternFill>
    </x:fill>
  </x:fills>
  <x:borders count="11">
    <x:border/>
    <x:border>
      <x:left style="thin">
        <x:color rgb="FFCBD5E1"/>
      </x:left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</x:border>
    <x:border>
      <x:right style="thin">
        <x:color rgb="FFCBD5E1"/>
      </x:right>
    </x:border>
    <x:border>
      <x:left style="thin">
        <x:color rgb="FFCBD5E1"/>
      </x:left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bottom style="double">
        <x:color rgb="FFCBD5E1"/>
      </x:bottom>
    </x:border>
  </x:borders>
  <x:cellStyleXfs count="1">
    <x:xf numFmtId="0" fontId="0" fillId="0" borderId="0"/>
  </x:cellStyleXfs>
  <x:cellXfs count="50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200" fontId="0" fillId="0" borderId="0" xfId="0" applyNumberFormat="1" applyFont="1" applyFill="1" applyBorder="1"/>
    <x:xf numFmtId="0" fontId="4" fillId="0" borderId="0" xfId="0" applyNumberFormat="1" applyFont="1" applyFill="1" applyBorder="1"/>
    <x:xf numFmtId="200" fontId="5" fillId="0" borderId="0" xfId="0" applyNumberFormat="1" applyFont="1" applyFill="1" applyBorder="1"/>
    <x:xf numFmtId="0" fontId="5" fillId="0" borderId="0" xfId="0" applyNumberFormat="1" applyFont="1" applyFill="1" applyBorder="1"/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 wrapText="1"/>
    </x:xf>
    <x:xf numFmtId="0" fontId="1" fillId="0" borderId="1" xfId="0" applyNumberFormat="1" applyFont="1" applyFill="1" applyBorder="1"/>
    <x:xf numFmtId="0" fontId="0" fillId="0" borderId="2" xfId="0" applyNumberFormat="1" applyFont="1" applyFill="1" applyBorder="1"/>
    <x:xf numFmtId="0" fontId="2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3" xfId="0" applyNumberFormat="1" applyFont="1" applyFill="1" applyBorder="1"/>
    <x:xf numFmtId="0" fontId="3" fillId="2" borderId="3" xfId="0" applyNumberFormat="1" applyFont="1" applyFill="1" applyBorder="1"/>
    <x:xf numFmtId="0" fontId="3" fillId="2" borderId="4" xfId="0" applyNumberFormat="1" applyFont="1" applyFill="1" applyBorder="1"/>
    <x:xf numFmtId="0" fontId="4" fillId="0" borderId="3" xfId="0" applyNumberFormat="1" applyFont="1" applyFill="1" applyBorder="1"/>
    <x:xf numFmtId="200" fontId="5" fillId="0" borderId="4" xfId="0" applyNumberFormat="1" applyFont="1" applyFill="1" applyBorder="1"/>
    <x:xf numFmtId="0" fontId="5" fillId="0" borderId="4" xfId="0" applyNumberFormat="1" applyFont="1" applyFill="1" applyBorder="1"/>
    <x:xf numFmtId="0" fontId="6" fillId="0" borderId="3" xfId="0" applyNumberFormat="1" applyFont="1" applyFill="1" applyBorder="1" applyAlignment="1">
      <x:alignment vertical="top" wrapText="1"/>
    </x:xf>
    <x:xf numFmtId="0" fontId="6" fillId="0" borderId="4" xfId="0" applyNumberFormat="1" applyFont="1" applyFill="1" applyBorder="1" applyAlignment="1">
      <x:alignment vertical="top" wrapText="1"/>
    </x:xf>
    <x:xf numFmtId="0" fontId="6" fillId="0" borderId="5" xfId="0" applyNumberFormat="1" applyFont="1" applyFill="1" applyBorder="1" applyAlignment="1">
      <x:alignment vertical="top" wrapText="1"/>
    </x:xf>
    <x:xf numFmtId="0" fontId="6" fillId="0" borderId="6" xfId="0" applyNumberFormat="1" applyFont="1" applyFill="1" applyBorder="1" applyAlignment="1">
      <x:alignment vertical="top" wrapText="1"/>
    </x:xf>
    <x:xf numFmtId="0" fontId="3" fillId="2" borderId="7" xfId="0" applyNumberFormat="1" applyFont="1" applyFill="1" applyBorder="1"/>
    <x:xf numFmtId="0" fontId="3" fillId="2" borderId="8" xfId="0" applyNumberFormat="1" applyFont="1" applyFill="1" applyBorder="1"/>
    <x:xf numFmtId="0" fontId="3" fillId="2" borderId="9" xfId="0" applyNumberFormat="1" applyFont="1" applyFill="1" applyBorder="1"/>
    <x:xf numFmtId="0" fontId="3" fillId="2" borderId="7" xfId="0" applyNumberFormat="1" applyFont="1" applyFill="1" applyBorder="1" applyAlignment="1">
      <x:alignment wrapText="1"/>
    </x:xf>
    <x:xf numFmtId="0" fontId="3" fillId="2" borderId="8" xfId="0" applyNumberFormat="1" applyFont="1" applyFill="1" applyBorder="1" applyAlignment="1">
      <x:alignment wrapText="1"/>
    </x:xf>
    <x:xf numFmtId="0" fontId="3" fillId="2" borderId="9" xfId="0" applyNumberFormat="1" applyFont="1" applyFill="1" applyBorder="1" applyAlignment="1">
      <x:alignment wrapText="1"/>
    </x:xf>
    <x:xf numFmtId="0" fontId="3" fillId="2" borderId="7" xfId="0" applyNumberFormat="1" applyFont="1" applyFill="1" applyBorder="1" applyAlignment="1">
      <x:alignment horizontal="center" wrapText="1"/>
    </x:xf>
    <x:xf numFmtId="0" fontId="3" fillId="2" borderId="8" xfId="0" applyNumberFormat="1" applyFont="1" applyFill="1" applyBorder="1" applyAlignment="1">
      <x:alignment horizontal="center" wrapText="1"/>
    </x:xf>
    <x:xf numFmtId="0" fontId="3" fillId="2" borderId="9" xfId="0" applyNumberFormat="1" applyFont="1" applyFill="1" applyBorder="1" applyAlignment="1">
      <x:alignment horizontal="center" wrapText="1"/>
    </x:xf>
    <x:xf numFmtId="0" fontId="3" fillId="2" borderId="7" xfId="0" applyNumberFormat="1" applyFont="1" applyFill="1" applyBorder="1" applyAlignment="1">
      <x:alignment horizontal="center" vertical="center" wrapText="1"/>
    </x:xf>
    <x:xf numFmtId="0" fontId="3" fillId="2" borderId="8" xfId="0" applyNumberFormat="1" applyFont="1" applyFill="1" applyBorder="1" applyAlignment="1">
      <x:alignment horizontal="center" vertical="center" wrapText="1"/>
    </x:xf>
    <x:xf numFmtId="0" fontId="3" fillId="2" borderId="9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10" xfId="0" applyNumberFormat="1" applyFont="1" applyFill="1" applyBorder="1"/>
    <x:xf numFmtId="200" fontId="6" fillId="0" borderId="0" xfId="0" applyNumberFormat="1" applyFont="1" applyFill="1" applyBorder="1" applyAlignment="1">
      <x:alignment vertical="top" wrapText="1"/>
    </x:xf>
    <x:xf numFmtId="200" fontId="4" fillId="3" borderId="10" xfId="0" applyNumberFormat="1" applyFont="1" applyFill="1" applyBorder="1"/>
    <x:xf numFmtId="0" fontId="6" fillId="0" borderId="0" xfId="0" applyNumberFormat="1" applyFont="1" applyFill="1" applyBorder="1" applyAlignment="1">
      <x:alignment horizontal="center" vertical="top" wrapText="1"/>
    </x:xf>
    <x:xf numFmtId="201" fontId="6" fillId="0" borderId="0" xfId="0" applyNumberFormat="1" applyFont="1" applyFill="1" applyBorder="1" applyAlignment="1">
      <x:alignment horizontal="center" vertical="top" wrapText="1"/>
    </x:xf>
    <x:xf numFmtId="200" fontId="6" fillId="0" borderId="0" xfId="0" applyNumberFormat="1" applyFont="1" applyFill="1" applyBorder="1" applyAlignment="1">
      <x:alignment horizontal="center" vertical="top" wrapText="1"/>
    </x:xf>
    <x:xf numFmtId="202" fontId="6" fillId="0" borderId="0" xfId="0" applyNumberFormat="1" applyFont="1" applyFill="1" applyBorder="1" applyAlignment="1">
      <x:alignment vertical="top" wrapText="1"/>
    </x:xf>
    <x:xf numFmtId="203" fontId="6" fillId="0" borderId="0" xfId="0" applyNumberFormat="1" applyFont="1" applyFill="1" applyBorder="1" applyAlignment="1">
      <x:alignment vertical="top" wrapText="1"/>
    </x:xf>
    <x:xf numFmtId="202" fontId="6" fillId="0" borderId="0" xfId="0" applyNumberFormat="1" applyFont="1" applyFill="1" applyBorder="1" applyAlignment="1">
      <x:alignment horizontal="center" vertical="top" wrapText="1"/>
    </x:xf>
    <x:xf numFmtId="203" fontId="6" fillId="0" borderId="0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17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color rgb="FF334155"/>
      </x:font>
      <x:fill>
        <x:patternFill patternType="solid">
          <x:bgColor rgb="FFF1F5F9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color rgb="FF334155"/>
      </x:font>
      <x:fill>
        <x:patternFill patternType="solid">
          <x:bgColor rgb="FFF1F5F9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color rgb="FF334155"/>
      </x:font>
      <x:fill>
        <x:patternFill patternType="solid">
          <x:bgColor rgb="FFF1F5F9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4e62a9a4bbe44c6" /><Relationship Type="http://schemas.openxmlformats.org/officeDocument/2006/relationships/theme" Target="/xl/theme/theme1.xml" Id="R15e69e5ea3f44904" /><Relationship Type="http://schemas.openxmlformats.org/officeDocument/2006/relationships/sharedStrings" Target="/xl/sharedStrings.xml" Id="R1674b8630d8643ac" /><Relationship Type="http://schemas.openxmlformats.org/officeDocument/2006/relationships/worksheet" Target="/xl/worksheets/sheet1.xml" Id="Re83cf5c1d6b146b2" /><Relationship Type="http://schemas.openxmlformats.org/officeDocument/2006/relationships/worksheet" Target="/xl/worksheets/sheet2.xml" Id="R59ed6afdadbf4c89" /><Relationship Type="http://schemas.openxmlformats.org/officeDocument/2006/relationships/worksheet" Target="/xl/worksheets/sheet3.xml" Id="R355cad97e8d744ca" /><Relationship Type="http://schemas.openxmlformats.org/officeDocument/2006/relationships/worksheet" Target="/xl/worksheets/sheet4.xml" Id="Rf229b359f89841e5" /><Relationship Type="http://schemas.openxmlformats.org/officeDocument/2006/relationships/worksheet" Target="/xl/worksheets/sheet5.xml" Id="Rb4b1b9fec8fd41e8" /><Relationship Type="http://schemas.openxmlformats.org/officeDocument/2006/relationships/worksheet" Target="/xl/worksheets/sheet6.xml" Id="R6833b24530b9429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60eb338c5e64db8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Completion by task ID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Series 1</c:v>
          </c:tx>
          <c:cat>
            <c:strRef>
              <c:f>'Task Plan'!$A$6:$A$17</c:f>
              <c:strCache>
                <c:ptCount val="0"/>
              </c:strCache>
            </c:strRef>
          </c:cat>
          <c:val>
            <c:numRef>
              <c:f>'Task Plan'!$F$6:$F$17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3</xdr:row>
      <xdr:rowOff>0</xdr:rowOff>
    </xdr:from>
    <xdr:to>
      <xdr:col>13</xdr:col>
      <xdr:colOff>0</xdr:colOff>
      <xdr:row>21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60eb338c5e64db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222c5a789b1c4c3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88" hidden="0" customWidth="1"/>
  </x:cols>
  <x:sheetData>
    <x:row r="1">
      <x:c r="A1" s="12" t="str">
        <x:v>Pioneer Auctions delivery plan</x:v>
      </x:c>
      <x:c r="B1" s="13"/>
    </x:row>
    <x:row r="2">
      <x:c r="A2" s="14" t="str">
        <x:v>Engineering implementation estimate based on weighted task acceptance criteria. Updated 2026-09-14 from branch agent/task-006-mobile-buyer-loop.</x:v>
      </x:c>
      <x:c r="B2" s="15"/>
    </x:row>
    <x:row r="3">
      <x:c r="A3" s="16"/>
      <x:c r="B3" s="15"/>
    </x:row>
    <x:row r="4">
      <x:c r="A4" s="17" t="str">
        <x:v>Metric</x:v>
      </x:c>
      <x:c r="B4" s="18" t="str">
        <x:v>Current value</x:v>
      </x:c>
    </x:row>
    <x:row r="5" ht="15" hidden="0" customHeight="1">
      <x:c r="A5" s="19" t="str">
        <x:v>Estimated engineering completion</x:v>
      </x:c>
      <x:c r="B5" s="20" t="n">
        <x:f>'Task Plan'!G18</x:f>
        <x:v>0.5606503404438699</x:v>
      </x:c>
    </x:row>
    <x:row r="6" ht="15" hidden="0" customHeight="1">
      <x:c r="A6" s="19" t="str">
        <x:v>Fully complete task packets</x:v>
      </x:c>
      <x:c r="B6" s="21" t="n">
        <x:f>COUNTIF('Task Plan'!H6:H17,"Complete")</x:f>
        <x:v>3</x:v>
      </x:c>
    </x:row>
    <x:row r="7" ht="15" hidden="0" customHeight="1">
      <x:c r="A7" s="19" t="str">
        <x:v>Tasks active or in rework</x:v>
      </x:c>
      <x:c r="B7" s="21" t="n">
        <x:f>12-B6-B8</x:f>
        <x:v>4</x:v>
      </x:c>
    </x:row>
    <x:row r="8" ht="15" hidden="0" customHeight="1">
      <x:c r="A8" s="19" t="str">
        <x:v>Tasks not started</x:v>
      </x:c>
      <x:c r="B8" s="21" t="n">
        <x:f>COUNTIF('Task Plan'!H6:H17,"Not started")</x:f>
        <x:v>5</x:v>
      </x:c>
    </x:row>
    <x:row r="9" ht="15" hidden="0" customHeight="1">
      <x:c r="A9" s="19" t="str">
        <x:v>Current repository head</x:v>
      </x:c>
      <x:c r="B9" s="21" t="str">
        <x:v>ed178c3</x:v>
      </x:c>
    </x:row>
    <x:row r="10" ht="15" hidden="0" customHeight="1">
      <x:c r="A10" s="16"/>
      <x:c r="B10" s="15"/>
    </x:row>
    <x:row r="11" ht="15" hidden="0" customHeight="1">
      <x:c r="A11" s="17" t="str">
        <x:v>Current position</x:v>
      </x:c>
      <x:c r="B11" s="18" t="str">
        <x:v>Assessment</x:v>
      </x:c>
    </x:row>
    <x:row r="12" ht="15" hidden="0" customHeight="1">
      <x:c r="A12" s="22" t="str">
        <x:v>Completed foundation</x:v>
      </x:c>
      <x:c r="B12" s="23" t="str">
        <x:v>Tasks 001–003: monorepo, executable contracts and cross-platform design/localization foundation.</x:v>
      </x:c>
    </x:row>
    <x:row r="13" ht="15" hidden="0" customHeight="1">
      <x:c r="A13" s="22" t="str">
        <x:v>Strongest implemented core</x:v>
      </x:c>
      <x:c r="B13" s="23" t="str">
        <x:v>Task 004 bidding engine and Task 007 admin operations have substantial real PostgreSQL verification.</x:v>
      </x:c>
    </x:row>
    <x:row r="14" ht="24" hidden="0" customHeight="1">
      <x:c r="A14" s="22" t="str">
        <x:v>Active buyer work</x:v>
      </x:c>
      <x:c r="B14" s="23" t="str">
        <x:v>Web is advanced but incomplete. Mobile has a strong visual prototype and is undergoing safety-critical integration repair.</x:v>
      </x:c>
    </x:row>
    <x:row r="15" ht="15" hidden="0" customHeight="1">
      <x:c r="A15" s="22" t="str">
        <x:v>Largest remaining blocks</x:v>
      </x:c>
      <x:c r="B15" s="23" t="str">
        <x:v>Production identity/KYC, financial ledger/payments, notifications, observability/load proof and controlled test auction.</x:v>
      </x:c>
    </x:row>
    <x:row r="16" ht="24" hidden="0" customHeight="1">
      <x:c r="A16" s="22" t="str">
        <x:v>Percentage interpretation</x:v>
      </x:c>
      <x:c r="B16" s="23" t="str">
        <x:v>The percentage measures planned engineering effort completed. It is not a launch-readiness claim; critical go-live gates remain open.</x:v>
      </x:c>
    </x:row>
    <x:row r="17" ht="15" hidden="0" customHeight="1">
      <x:c r="A17" s="16"/>
      <x:c r="B17" s="15"/>
    </x:row>
    <x:row r="18" ht="15" hidden="0" customHeight="1">
      <x:c r="A18" s="17" t="str">
        <x:v>Next five priorities</x:v>
      </x:c>
      <x:c r="B18" s="18" t="str">
        <x:v>Owner</x:v>
      </x:c>
    </x:row>
    <x:row r="19" ht="24" hidden="0" customHeight="1">
      <x:c r="A19" s="22" t="str">
        <x:v>Close all Task 006 critical/high mobile review findings</x:v>
      </x:c>
      <x:c r="B19" s="23" t="str">
        <x:v>Antigravity</x:v>
      </x:c>
    </x:row>
    <x:row r="20" ht="24" hidden="0" customHeight="1">
      <x:c r="A20" s="22" t="str">
        <x:v>Finish Task 004 crash/recovery and operational proof</x:v>
      </x:c>
      <x:c r="B20" s="23" t="str">
        <x:v>Backend owner</x:v>
      </x:c>
    </x:row>
    <x:row r="21" ht="24" hidden="0" customHeight="1">
      <x:c r="A21" s="22" t="str">
        <x:v>Complete identity sessions, KYC adapters and admin step-up</x:v>
      </x:c>
      <x:c r="B21" s="23" t="str">
        <x:v>Identity owner</x:v>
      </x:c>
    </x:row>
    <x:row r="22" ht="24" hidden="0" customHeight="1">
      <x:c r="A22" s="24" t="str">
        <x:v>Implement dummy payment provider on a balanced replay-safe ledger</x:v>
      </x:c>
      <x:c r="B22" s="25" t="str">
        <x:v>Payments owner</x:v>
      </x:c>
    </x:row>
  </x:sheetData>
  <x:pageMargins left="0.7" right="0.7" top="0.75" bottom="0.75" header="0.3" footer="0.3"/>
  <x:drawing xmlns:r="http://schemas.openxmlformats.org/officeDocument/2006/relationships" r:id="R222c5a789b1c4c39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0" hidden="0" customWidth="1"/>
    <x:col min="2" max="2" width="34" hidden="0" customWidth="1"/>
    <x:col min="3" max="3" width="18" hidden="0" customWidth="1"/>
    <x:col min="4" max="4" width="13" hidden="0" customWidth="1"/>
    <x:col min="5" max="5" width="24" hidden="0" customWidth="1"/>
    <x:col min="6" max="6" width="13" hidden="0" customWidth="1"/>
    <x:col min="7" max="7" width="18" hidden="0" customWidth="1"/>
    <x:col min="8" max="8" width="18" hidden="0" customWidth="1"/>
    <x:col min="9" max="9" width="56" hidden="0" customWidth="1"/>
    <x:col min="10" max="10" width="64" hidden="0" customWidth="1"/>
    <x:col min="11" max="11" width="20" hidden="0" customWidth="1"/>
    <x:col min="12" max="12" width="50" hidden="0" customWidth="1"/>
    <x:col min="13" max="13" width="34" hidden="0" customWidth="1"/>
  </x:cols>
  <x:sheetData>
    <x:row r="1">
      <x:c r="A1" s="1" t="str">
        <x:v>Task plan and completion</x:v>
      </x:c>
    </x:row>
    <x:row r="2">
      <x:c r="A2" s="2" t="str">
        <x:v>Task completion rolls up from effort-weighted rows in Detailed Backlog. Task weights total 100%.</x:v>
      </x:c>
    </x:row>
    <x:row r="5" ht="32" customHeight="1">
      <x:c r="A5" s="35" t="str">
        <x:v>Task ID</x:v>
      </x:c>
      <x:c r="B5" s="36" t="str">
        <x:v>Task</x:v>
      </x:c>
      <x:c r="C5" s="36" t="str">
        <x:v>Workstream</x:v>
      </x:c>
      <x:c r="D5" s="36" t="str">
        <x:v>Plan weight</x:v>
      </x:c>
      <x:c r="E5" s="36" t="str">
        <x:v>Owner</x:v>
      </x:c>
      <x:c r="F5" s="36" t="str">
        <x:v>Completion</x:v>
      </x:c>
      <x:c r="G5" s="36" t="str">
        <x:v>Weighted contribution</x:v>
      </x:c>
      <x:c r="H5" s="36" t="str">
        <x:v>Status</x:v>
      </x:c>
      <x:c r="I5" s="36" t="str">
        <x:v>Done</x:v>
      </x:c>
      <x:c r="J5" s="36" t="str">
        <x:v>What remains</x:v>
      </x:c>
      <x:c r="K5" s="36" t="str">
        <x:v>Dependencies</x:v>
      </x:c>
      <x:c r="L5" s="36" t="str">
        <x:v>Next action</x:v>
      </x:c>
      <x:c r="M5" s="37" t="str">
        <x:v>Branch / evidence</x:v>
      </x:c>
    </x:row>
    <x:row r="6" ht="24" hidden="0" customHeight="1">
      <x:c r="A6" s="44" t="str">
        <x:v>001</x:v>
      </x:c>
      <x:c r="B6" s="11" t="str">
        <x:v>Monorepo and local foundation</x:v>
      </x:c>
      <x:c r="C6" s="11" t="str">
        <x:v>Foundation</x:v>
      </x:c>
      <x:c r="D6" s="45" t="n">
        <x:v>0.05</x:v>
      </x:c>
      <x:c r="E6" s="45" t="str">
        <x:v>Codex</x:v>
      </x:c>
      <x:c r="F6" s="45" t="n">
        <x:f>SUMPRODUCT(('Detailed Backlog'!$A$6:$A$120=A6)*'Detailed Backlog'!$D$6:$D$120*'Detailed Backlog'!$E$6:$E$120)/SUMIF('Detailed Backlog'!$A$6:$A$120,A6,'Detailed Backlog'!$D$6:$D$120)</x:f>
        <x:v>1</x:v>
      </x:c>
      <x:c r="G6" s="45" t="n">
        <x:f>D6*F6</x:f>
        <x:v>0.05</x:v>
      </x:c>
      <x:c r="H6" s="43" t="str">
        <x:v>Complete</x:v>
      </x:c>
      <x:c r="I6" s="11" t="str">
        <x:v>Monorepo, apps, shared configuration, local services, CI, health and logging.</x:v>
      </x:c>
      <x:c r="J6" s="11" t="str">
        <x:v>Docker runtime validation remains environment-dependent.</x:v>
      </x:c>
      <x:c r="K6" s="11" t="str">
        <x:v>None</x:v>
      </x:c>
      <x:c r="L6" s="11" t="str">
        <x:v>Keep dependencies and CI pins current.</x:v>
      </x:c>
      <x:c r="M6" s="11" t="str">
        <x:v>agent/task-001-foundation</x:v>
      </x:c>
    </x:row>
    <x:row r="7" ht="24" hidden="0" customHeight="1">
      <x:c r="A7" s="44" t="str">
        <x:v>002</x:v>
      </x:c>
      <x:c r="B7" s="11" t="str">
        <x:v>Runtime contracts and compatibility</x:v>
      </x:c>
      <x:c r="C7" s="11" t="str">
        <x:v>Contracts</x:v>
      </x:c>
      <x:c r="D7" s="45" t="n">
        <x:v>0.07</x:v>
      </x:c>
      <x:c r="E7" s="45" t="str">
        <x:v>Codex</x:v>
      </x:c>
      <x:c r="F7" s="45" t="n">
        <x:f>SUMPRODUCT(('Detailed Backlog'!$A$6:$A$120=A7)*'Detailed Backlog'!$D$6:$D$120*'Detailed Backlog'!$E$6:$E$120)/SUMIF('Detailed Backlog'!$A$6:$A$120,A7,'Detailed Backlog'!$D$6:$D$120)</x:f>
        <x:v>1</x:v>
      </x:c>
      <x:c r="G7" s="45" t="n">
        <x:f>D7*F7</x:f>
        <x:v>0.07</x:v>
      </x:c>
      <x:c r="H7" s="43" t="str">
        <x:v>Complete</x:v>
      </x:c>
      <x:c r="I7" s="11" t="str">
        <x:v>Zod contracts, OpenAPI, Socket.IO maps, fixtures, Dart generation and drift checks.</x:v>
      </x:c>
      <x:c r="J7" s="11" t="str">
        <x:v>Maintain synchronized docs, schemas and generated artifacts.</x:v>
      </x:c>
      <x:c r="K7" s="11" t="str">
        <x:v>001</x:v>
      </x:c>
      <x:c r="L7" s="11" t="str">
        <x:v>Treat contracts as the source for every client change.</x:v>
      </x:c>
      <x:c r="M7" s="11" t="str">
        <x:v>agent/task-002-runtime-contracts</x:v>
      </x:c>
    </x:row>
    <x:row r="8" ht="24" hidden="0" customHeight="1">
      <x:c r="A8" s="44" t="str">
        <x:v>003</x:v>
      </x:c>
      <x:c r="B8" s="11" t="str">
        <x:v>Design system and localization foundation</x:v>
      </x:c>
      <x:c r="C8" s="11" t="str">
        <x:v>Design system</x:v>
      </x:c>
      <x:c r="D8" s="45" t="n">
        <x:v>0.08</x:v>
      </x:c>
      <x:c r="E8" s="45" t="str">
        <x:v>Antigravity</x:v>
      </x:c>
      <x:c r="F8" s="45" t="n">
        <x:f>SUMPRODUCT(('Detailed Backlog'!$A$6:$A$120=A8)*'Detailed Backlog'!$D$6:$D$120*'Detailed Backlog'!$E$6:$E$120)/SUMIF('Detailed Backlog'!$A$6:$A$120,A8,'Detailed Backlog'!$D$6:$D$120)</x:f>
        <x:v>1</x:v>
      </x:c>
      <x:c r="G8" s="45" t="n">
        <x:f>D8*F8</x:f>
        <x:v>0.08</x:v>
      </x:c>
      <x:c r="H8" s="43" t="str">
        <x:v>Complete</x:v>
      </x:c>
      <x:c r="I8" s="11" t="str">
        <x:v>Shared tokens, web and Flutter primitives, RTL foundations, light/dark semantics and accessibility rules.</x:v>
      </x:c>
      <x:c r="J8" s="11" t="str">
        <x:v>Official master logo and native Arabic review are still external dependencies.</x:v>
      </x:c>
      <x:c r="K8" s="11" t="str">
        <x:v>001</x:v>
      </x:c>
      <x:c r="L8" s="11" t="str">
        <x:v>Apply the system consistently while rebuilding product screens.</x:v>
      </x:c>
      <x:c r="M8" s="11" t="str">
        <x:v>agent/task-003-design-system</x:v>
      </x:c>
    </x:row>
    <x:row r="9" ht="24" hidden="0" customHeight="1">
      <x:c r="A9" s="44" t="str">
        <x:v>004</x:v>
      </x:c>
      <x:c r="B9" s="11" t="str">
        <x:v>Atomic bidding engine and close orchestration</x:v>
      </x:c>
      <x:c r="C9" s="11" t="str">
        <x:v>Backend core</x:v>
      </x:c>
      <x:c r="D9" s="45" t="n">
        <x:v>0.18</x:v>
      </x:c>
      <x:c r="E9" s="45" t="str">
        <x:v>Claude Code / backend owner</x:v>
      </x:c>
      <x:c r="F9" s="45" t="n">
        <x:f>SUMPRODUCT(('Detailed Backlog'!$A$6:$A$120=A9)*'Detailed Backlog'!$D$6:$D$120*'Detailed Backlog'!$E$6:$E$120)/SUMIF('Detailed Backlog'!$A$6:$A$120,A9,'Detailed Backlog'!$D$6:$D$120)</x:f>
        <x:v>0.8875000000000001</x:v>
      </x:c>
      <x:c r="G9" s="45" t="n">
        <x:f>D9*F9</x:f>
        <x:v>0.15975</x:v>
      </x:c>
      <x:c r="H9" s="43" t="str">
        <x:v>In progress</x:v>
      </x:c>
      <x:c r="I9" s="11" t="str">
        <x:v>Manual and proxy bidding, PostgreSQL serialization, idempotency, soft-close, outbox, recovery and lifecycle scheduling exist.</x:v>
      </x:c>
      <x:c r="J9" s="11" t="str">
        <x:v>Complete kill-point proof, Redis recovery integration, metrics and final technical acceptance.</x:v>
      </x:c>
      <x:c r="K9" s="11" t="str">
        <x:v>001, 002</x:v>
      </x:c>
      <x:c r="L9" s="11" t="str">
        <x:v>Close remaining correctness and operability gates.</x:v>
      </x:c>
      <x:c r="M9" s="11" t="str">
        <x:v>agent/task-004-backend-week1</x:v>
      </x:c>
    </x:row>
    <x:row r="10" ht="24" hidden="0" customHeight="1">
      <x:c r="A10" s="44" t="str">
        <x:v>005</x:v>
      </x:c>
      <x:c r="B10" s="11" t="str">
        <x:v>Next.js buyer loop</x:v>
      </x:c>
      <x:c r="C10" s="11" t="str">
        <x:v>Buyer web</x:v>
      </x:c>
      <x:c r="D10" s="45" t="n">
        <x:v>0.12</x:v>
      </x:c>
      <x:c r="E10" s="45" t="str">
        <x:v>Antigravity</x:v>
      </x:c>
      <x:c r="F10" s="45" t="n">
        <x:f>SUMPRODUCT(('Detailed Backlog'!$A$6:$A$120=A10)*'Detailed Backlog'!$D$6:$D$120*'Detailed Backlog'!$E$6:$E$120)/SUMIF('Detailed Backlog'!$A$6:$A$120,A10,'Detailed Backlog'!$D$6:$D$120)</x:f>
        <x:v>0.7366666666666667</x:v>
      </x:c>
      <x:c r="G10" s="45" t="n">
        <x:f>D10*F10</x:f>
        <x:v>0.0884</x:v>
      </x:c>
      <x:c r="H10" s="43" t="str">
        <x:v>In progress</x:v>
      </x:c>
      <x:c r="I10" s="11" t="str">
        <x:v>Discovery, lot detail, REST bidding, proxy logic, realtime recovery foundation, search/calendar and Cloudflare preview exist.</x:v>
      </x:c>
      <x:c r="J10" s="11" t="str">
        <x:v>Finish full account activity, complete gates and fee UX, Arabic/accessibility verification and end-to-end journeys.</x:v>
      </x:c>
      <x:c r="K10" s="11" t="str">
        <x:v>002, 003, 004</x:v>
      </x:c>
      <x:c r="L10" s="11" t="str">
        <x:v>Complete live buyer journey and browser automation.</x:v>
      </x:c>
      <x:c r="M10" s="11" t="str">
        <x:v>Implemented on agent/task-007-admin-core</x:v>
      </x:c>
    </x:row>
    <x:row r="11" ht="24" hidden="0" customHeight="1">
      <x:c r="A11" s="44" t="str">
        <x:v>006</x:v>
      </x:c>
      <x:c r="B11" s="11" t="str">
        <x:v>Flutter mobile buyer loop</x:v>
      </x:c>
      <x:c r="C11" s="11" t="str">
        <x:v>Mobile</x:v>
      </x:c>
      <x:c r="D11" s="45" t="n">
        <x:v>0.12</x:v>
      </x:c>
      <x:c r="E11" s="45" t="str">
        <x:v>Antigravity</x:v>
      </x:c>
      <x:c r="F11" s="45" t="n">
        <x:f>SUMPRODUCT(('Detailed Backlog'!$A$6:$A$120=A11)*'Detailed Backlog'!$D$6:$D$120*'Detailed Backlog'!$E$6:$E$120)/SUMIF('Detailed Backlog'!$A$6:$A$120,A11,'Detailed Backlog'!$D$6:$D$120)</x:f>
        <x:v>0.3279411764705882</x:v>
      </x:c>
      <x:c r="G11" s="45" t="n">
        <x:f>D11*F11</x:f>
        <x:v>0.039352941176470584</x:v>
      </x:c>
      <x:c r="H11" s="43" t="str">
        <x:v>Rework in progress</x:v>
      </x:c>
      <x:c r="I11" s="11" t="str">
        <x:v>Ten-screen Android UI, shared Dart contracts and initial REST/realtime adapters exist. REST alignment fix committed at ed178c3.</x:v>
      </x:c>
      <x:c r="J11" s="11" t="str">
        <x:v>Resolve realtime protocol, false-success bidding, recovery, proxy/gates, full localization, accessibility, dark mode, iOS and live integration tests.</x:v>
      </x:c>
      <x:c r="K11" s="11" t="str">
        <x:v>002, 003, 004</x:v>
      </x:c>
      <x:c r="L11" s="11" t="str">
        <x:v>Finish all review findings before claiming completion.</x:v>
      </x:c>
      <x:c r="M11" s="11" t="str">
        <x:v>agent/task-006-mobile-buyer-loop</x:v>
      </x:c>
    </x:row>
    <x:row r="12" ht="24" hidden="0" customHeight="1">
      <x:c r="A12" s="44" t="str">
        <x:v>007</x:v>
      </x:c>
      <x:c r="B12" s="11" t="str">
        <x:v>Admin auction operations</x:v>
      </x:c>
      <x:c r="C12" s="11" t="str">
        <x:v>Admin</x:v>
      </x:c>
      <x:c r="D12" s="45" t="n">
        <x:v>0.1</x:v>
      </x:c>
      <x:c r="E12" s="45" t="str">
        <x:v>Antigravity / Codex</x:v>
      </x:c>
      <x:c r="F12" s="45" t="n">
        <x:f>SUMPRODUCT(('Detailed Backlog'!$A$6:$A$120=A12)*'Detailed Backlog'!$D$6:$D$120*'Detailed Backlog'!$E$6:$E$120)/SUMIF('Detailed Backlog'!$A$6:$A$120,A12,'Detailed Backlog'!$D$6:$D$120)</x:f>
        <x:v>0.5557692307692309</x:v>
      </x:c>
      <x:c r="G12" s="45" t="n">
        <x:f>D12*F12</x:f>
        <x:v>0.05557692307692309</x:v>
      </x:c>
      <x:c r="H12" s="43" t="str">
        <x:v>In progress</x:v>
      </x:c>
      <x:c r="I12" s="11" t="str">
        <x:v>Dashboard, lot and auction operations, final-bid decisions, audit reads, bulk import and live database validation exist.</x:v>
      </x:c>
      <x:c r="J12" s="11" t="str">
        <x:v>Step-up auth, permission-aware UI, realtime monitor, deposit/offer/consignment queues and Playwright journeys remain.</x:v>
      </x:c>
      <x:c r="K12" s="11" t="str">
        <x:v>002, 003, 004</x:v>
      </x:c>
      <x:c r="L12" s="11" t="str">
        <x:v>Complete high-risk operations and missing queues.</x:v>
      </x:c>
      <x:c r="M12" s="11" t="str">
        <x:v>agent/task-007-admin-core</x:v>
      </x:c>
    </x:row>
    <x:row r="13" ht="24" hidden="0" customHeight="1">
      <x:c r="A13" s="44" t="str">
        <x:v>008</x:v>
      </x:c>
      <x:c r="B13" s="11" t="str">
        <x:v>Identity, UAE PASS and fallback KYC</x:v>
      </x:c>
      <x:c r="C13" s="11" t="str">
        <x:v>Identity</x:v>
      </x:c>
      <x:c r="D13" s="45" t="n">
        <x:v>0.08</x:v>
      </x:c>
      <x:c r="E13" s="45" t="str">
        <x:v>Backend integration owner</x:v>
      </x:c>
      <x:c r="F13" s="45" t="n">
        <x:f>SUMPRODUCT(('Detailed Backlog'!$A$6:$A$120=A13)*'Detailed Backlog'!$D$6:$D$120*'Detailed Backlog'!$E$6:$E$120)/SUMIF('Detailed Backlog'!$A$6:$A$120,A13,'Detailed Backlog'!$D$6:$D$120)</x:f>
        <x:v>0.05416666666666667</x:v>
      </x:c>
      <x:c r="G13" s="45" t="n">
        <x:f>D13*F13</x:f>
        <x:v>0.004333333333333334</x:v>
      </x:c>
      <x:c r="H13" s="43" t="str">
        <x:v>Not started</x:v>
      </x:c>
      <x:c r="I13" s="11" t="str">
        <x:v>Basic account/session/RBAC development foundation exists in the API.</x:v>
      </x:c>
      <x:c r="J13" s="11" t="str">
        <x:v>UAE PASS OIDC/PKCE, refresh sessions, revocation, OTP fallback, KYC state machine, encryption, step-up auth and security tests.</x:v>
      </x:c>
      <x:c r="K13" s="11" t="str">
        <x:v>001, 002</x:v>
      </x:c>
      <x:c r="L13" s="11" t="str">
        <x:v>Start provider-independent session and fake KYC adapters.</x:v>
      </x:c>
      <x:c r="M13" s="11" t="str">
        <x:v>Unassigned</x:v>
      </x:c>
    </x:row>
    <x:row r="14" ht="24" hidden="0" customHeight="1">
      <x:c r="A14" s="44" t="str">
        <x:v>009</x:v>
      </x:c>
      <x:c r="B14" s="11" t="str">
        <x:v>Deposits, payments, refunds and ledger</x:v>
      </x:c>
      <x:c r="C14" s="11" t="str">
        <x:v>Payments</x:v>
      </x:c>
      <x:c r="D14" s="45" t="n">
        <x:v>0.08</x:v>
      </x:c>
      <x:c r="E14" s="45" t="str">
        <x:v>Backend payments owner</x:v>
      </x:c>
      <x:c r="F14" s="45" t="n">
        <x:f>SUMPRODUCT(('Detailed Backlog'!$A$6:$A$120=A14)*'Detailed Backlog'!$D$6:$D$120*'Detailed Backlog'!$E$6:$E$120)/SUMIF('Detailed Backlog'!$A$6:$A$120,A14,'Detailed Backlog'!$D$6:$D$120)</x:f>
        <x:v>0.08600000000000002</x:v>
      </x:c>
      <x:c r="G14" s="45" t="n">
        <x:f>D14*F14</x:f>
        <x:v>0.0068800000000000016</x:v>
      </x:c>
      <x:c r="H14" s="43" t="str">
        <x:v>Not started</x:v>
      </x:c>
      <x:c r="I14" s="11" t="str">
        <x:v>Dummy-payment direction and early admin/payment scaffolding exist.</x:v>
      </x:c>
      <x:c r="J14" s="11" t="str">
        <x:v>Balanced ledger, policy rules, hosted checkout, replay-safe webhooks, refunds, reconciliation, client return flows and finance views.</x:v>
      </x:c>
      <x:c r="K14" s="11" t="str">
        <x:v>001, 002, 008</x:v>
      </x:c>
      <x:c r="L14" s="11" t="str">
        <x:v>Implement dummy provider and ledger invariants first.</x:v>
      </x:c>
      <x:c r="M14" s="11" t="str">
        <x:v>Unassigned</x:v>
      </x:c>
    </x:row>
    <x:row r="15" ht="24" hidden="0" customHeight="1">
      <x:c r="A15" s="44" t="str">
        <x:v>010</x:v>
      </x:c>
      <x:c r="B15" s="11" t="str">
        <x:v>Transactional notifications</x:v>
      </x:c>
      <x:c r="C15" s="11" t="str">
        <x:v>Notifications</x:v>
      </x:c>
      <x:c r="D15" s="45" t="n">
        <x:v>0.05</x:v>
      </x:c>
      <x:c r="E15" s="45" t="str">
        <x:v>Codex</x:v>
      </x:c>
      <x:c r="F15" s="45" t="n">
        <x:f>SUMPRODUCT(('Detailed Backlog'!$A$6:$A$120=A15)*'Detailed Backlog'!$D$6:$D$120*'Detailed Backlog'!$E$6:$E$120)/SUMIF('Detailed Backlog'!$A$6:$A$120,A15,'Detailed Backlog'!$D$6:$D$120)</x:f>
        <x:v>0.03</x:v>
      </x:c>
      <x:c r="G15" s="45" t="n">
        <x:f>D15*F15</x:f>
        <x:v>0.0015</x:v>
      </x:c>
      <x:c r="H15" s="43" t="str">
        <x:v>Not started</x:v>
      </x:c>
      <x:c r="I15" s="11" t="str">
        <x:v>Domain events and outbox foundations can feed future notification intents.</x:v>
      </x:c>
      <x:c r="J15" s="11" t="str">
        <x:v>Notification ledger, templates, preferences, push/email adapters, reminders, dedupe, retries and in-app feed.</x:v>
      </x:c>
      <x:c r="K15" s="11" t="str">
        <x:v>002, 004, 008</x:v>
      </x:c>
      <x:c r="L15" s="11" t="str">
        <x:v>Build development sinks and deduplicated notification intents.</x:v>
      </x:c>
      <x:c r="M15" s="11" t="str">
        <x:v>Unassigned</x:v>
      </x:c>
    </x:row>
    <x:row r="16" ht="24" hidden="0" customHeight="1">
      <x:c r="A16" s="44" t="str">
        <x:v>011</x:v>
      </x:c>
      <x:c r="B16" s="11" t="str">
        <x:v>Observability, load and runbooks</x:v>
      </x:c>
      <x:c r="C16" s="11" t="str">
        <x:v>Operations</x:v>
      </x:c>
      <x:c r="D16" s="45" t="n">
        <x:v>0.04</x:v>
      </x:c>
      <x:c r="E16" s="45" t="str">
        <x:v>Codex with SRE review</x:v>
      </x:c>
      <x:c r="F16" s="45" t="n">
        <x:f>SUMPRODUCT(('Detailed Backlog'!$A$6:$A$120=A16)*'Detailed Backlog'!$D$6:$D$120*'Detailed Backlog'!$E$6:$E$120)/SUMIF('Detailed Backlog'!$A$6:$A$120,A16,'Detailed Backlog'!$D$6:$D$120)</x:f>
        <x:v>0.12142857142857141</x:v>
      </x:c>
      <x:c r="G16" s="45" t="n">
        <x:f>D16*F16</x:f>
        <x:v>0.004857142857142857</x:v>
      </x:c>
      <x:c r="H16" s="43" t="str">
        <x:v>Not started</x:v>
      </x:c>
      <x:c r="I16" s="11" t="str">
        <x:v>Structured logs, correlation IDs and OpenTelemetry foundations exist.</x:v>
      </x:c>
      <x:c r="J16" s="11" t="str">
        <x:v>Dashboards, alerts, load harness, failure injection, capacity proof and executable runbooks.</x:v>
      </x:c>
      <x:c r="K16" s="11" t="str">
        <x:v>004, 008, 009</x:v>
      </x:c>
      <x:c r="L16" s="11" t="str">
        <x:v>Define target load and instrument bid/outbox/payment paths.</x:v>
      </x:c>
      <x:c r="M16" s="11" t="str">
        <x:v>Unassigned</x:v>
      </x:c>
    </x:row>
    <x:row r="17" ht="24" hidden="0" customHeight="1">
      <x:c r="A17" s="44" t="str">
        <x:v>012</x:v>
      </x:c>
      <x:c r="B17" s="11" t="str">
        <x:v>MVP hardening and test auction</x:v>
      </x:c>
      <x:c r="C17" s="11" t="str">
        <x:v>Release</x:v>
      </x:c>
      <x:c r="D17" s="45" t="n">
        <x:v>0.03</x:v>
      </x:c>
      <x:c r="E17" s="45" t="str">
        <x:v>Product owner and all owners</x:v>
      </x:c>
      <x:c r="F17" s="45" t="n">
        <x:f>SUMPRODUCT(('Detailed Backlog'!$A$6:$A$120=A17)*'Detailed Backlog'!$D$6:$D$120*'Detailed Backlog'!$E$6:$E$120)/SUMIF('Detailed Backlog'!$A$6:$A$120,A17,'Detailed Backlog'!$D$6:$D$120)</x:f>
        <x:v>0</x:v>
      </x:c>
      <x:c r="G17" s="45" t="n">
        <x:f>D17*F17</x:f>
        <x:v>0</x:v>
      </x:c>
      <x:c r="H17" s="43" t="str">
        <x:v>Not started</x:v>
      </x:c>
      <x:c r="I17" s="11" t="str">
        <x:v>No release gate has been completed yet.</x:v>
      </x:c>
      <x:c r="J17" s="11" t="str">
        <x:v>Security/legal/finance/Arabic/accessibility reviews, migration and recovery rehearsals, controlled auction, reconciliation and go/no-go.</x:v>
      </x:c>
      <x:c r="K17" s="11" t="str">
        <x:v>004–011</x:v>
      </x:c>
      <x:c r="L17" s="11" t="str">
        <x:v>Begin only after upstream MVP scopes are accepted.</x:v>
      </x:c>
      <x:c r="M17" s="11" t="str">
        <x:v>Unassigned</x:v>
      </x:c>
    </x:row>
    <x:row r="18" ht="15" hidden="0" customHeight="1">
      <x:c r="A18" s="40" t="str"/>
      <x:c r="B18" s="40" t="str">
        <x:v>Total</x:v>
      </x:c>
      <x:c r="C18" s="40" t="str"/>
      <x:c r="D18" s="42" t="n">
        <x:f>SUM(D6:D17)</x:f>
        <x:v>1</x:v>
      </x:c>
      <x:c r="E18" s="42" t="str"/>
      <x:c r="F18" s="42" t="n">
        <x:f>SUMPRODUCT(D6:D17,F6:F17)/SUM(D6:D17)</x:f>
        <x:v>0.5606503404438699</x:v>
      </x:c>
      <x:c r="G18" s="42" t="n">
        <x:f>SUM(G6:G17)</x:f>
        <x:v>0.5606503404438699</x:v>
      </x:c>
      <x:c r="H18" s="40" t="str"/>
      <x:c r="I18" s="40" t="str"/>
      <x:c r="J18" s="40" t="str"/>
      <x:c r="K18" s="40" t="str"/>
      <x:c r="L18" s="40" t="str"/>
      <x:c r="M18" s="40" t="str"/>
    </x:row>
  </x:sheetData>
  <x:conditionalFormatting sqref="H6:H17">
    <x:cfRule type="containsText" dxfId="0" priority="1" operator="containsText" text="Complete"/>
    <x:cfRule type="containsText" dxfId="1" priority="2" operator="containsText" text="In progress"/>
    <x:cfRule type="containsText" dxfId="2" priority="3" operator="containsText" text="Rework"/>
    <x:cfRule type="containsText" dxfId="3" priority="4" operator="containsText" text="Not started"/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0" hidden="0" customWidth="1"/>
    <x:col min="2" max="2" width="18" hidden="0" customWidth="1"/>
    <x:col min="3" max="3" width="52" hidden="0" customWidth="1"/>
    <x:col min="4" max="4" width="13" hidden="0" customWidth="1"/>
    <x:col min="5" max="5" width="13" hidden="0" customWidth="1"/>
    <x:col min="6" max="6" width="20" hidden="0" customWidth="1"/>
    <x:col min="7" max="7" width="48" hidden="0" customWidth="1"/>
    <x:col min="8" max="8" width="58" hidden="0" customWidth="1"/>
    <x:col min="9" max="9" width="22" hidden="0" customWidth="1"/>
    <x:col min="10" max="10" width="10" hidden="0" customWidth="1"/>
  </x:cols>
  <x:sheetData>
    <x:row r="1">
      <x:c r="A1" s="1" t="str">
        <x:v>Detailed implementation backlog</x:v>
      </x:c>
    </x:row>
    <x:row r="2">
      <x:c r="A2" s="2" t="str">
        <x:v>Effort points are relative within each task. Completion is a conservative evidence-based estimate, not elapsed time.</x:v>
      </x:c>
    </x:row>
    <x:row r="5" ht="32" customHeight="1">
      <x:c r="A5" s="35" t="str">
        <x:v>Task ID</x:v>
      </x:c>
      <x:c r="B5" s="36" t="str">
        <x:v>Workstream</x:v>
      </x:c>
      <x:c r="C5" s="36" t="str">
        <x:v>Detailed deliverable</x:v>
      </x:c>
      <x:c r="D5" s="36" t="str">
        <x:v>Effort points</x:v>
      </x:c>
      <x:c r="E5" s="36" t="str">
        <x:v>Completion</x:v>
      </x:c>
      <x:c r="F5" s="36" t="str">
        <x:v>Status</x:v>
      </x:c>
      <x:c r="G5" s="36" t="str">
        <x:v>What is done</x:v>
      </x:c>
      <x:c r="H5" s="36" t="str">
        <x:v>What remains</x:v>
      </x:c>
      <x:c r="I5" s="36" t="str">
        <x:v>Dependency</x:v>
      </x:c>
      <x:c r="J5" s="37" t="str">
        <x:v>Priority</x:v>
      </x:c>
    </x:row>
    <x:row r="6" ht="15" hidden="0" customHeight="1">
      <x:c r="A6" s="44" t="str">
        <x:v>001</x:v>
      </x:c>
      <x:c r="B6" s="11" t="str">
        <x:v>Foundation</x:v>
      </x:c>
      <x:c r="C6" s="11" t="str">
        <x:v>Generate NestJS, buyer web and admin apps</x:v>
      </x:c>
      <x:c r="D6" s="48" t="n">
        <x:v>2</x:v>
      </x:c>
      <x:c r="E6" s="49" t="n">
        <x:v>1</x:v>
      </x:c>
      <x:c r="F6" s="43" t="str">
        <x:v>Complete</x:v>
      </x:c>
      <x:c r="G6" s="11" t="str">
        <x:v>Apps scaffolded and buildable.</x:v>
      </x:c>
      <x:c r="H6" s="11" t="str">
        <x:v>Maintain framework pins.</x:v>
      </x:c>
      <x:c r="I6" s="11" t="str">
        <x:v>None</x:v>
      </x:c>
      <x:c r="J6" s="43" t="str">
        <x:v>P2</x:v>
      </x:c>
    </x:row>
    <x:row r="7" ht="15" hidden="0" customHeight="1">
      <x:c r="A7" s="44" t="str">
        <x:v>001</x:v>
      </x:c>
      <x:c r="B7" s="11" t="str">
        <x:v>Foundation</x:v>
      </x:c>
      <x:c r="C7" s="11" t="str">
        <x:v>Configure pnpm workspace, Turborepo and lockfile</x:v>
      </x:c>
      <x:c r="D7" s="48" t="n">
        <x:v>1</x:v>
      </x:c>
      <x:c r="E7" s="49" t="n">
        <x:v>1</x:v>
      </x:c>
      <x:c r="F7" s="43" t="str">
        <x:v>Complete</x:v>
      </x:c>
      <x:c r="G7" s="11" t="str">
        <x:v>Workspace and build ordering established.</x:v>
      </x:c>
      <x:c r="H7" s="11" t="str">
        <x:v>Maintain clean install support.</x:v>
      </x:c>
      <x:c r="I7" s="11" t="str">
        <x:v>None</x:v>
      </x:c>
      <x:c r="J7" s="43" t="str">
        <x:v>P2</x:v>
      </x:c>
    </x:row>
    <x:row r="8" ht="15" hidden="0" customHeight="1">
      <x:c r="A8" s="44" t="str">
        <x:v>001</x:v>
      </x:c>
      <x:c r="B8" s="11" t="str">
        <x:v>Foundation</x:v>
      </x:c>
      <x:c r="C8" s="11" t="str">
        <x:v>Create PostgreSQL, Redis, MinIO and Mailpit local services</x:v>
      </x:c>
      <x:c r="D8" s="48" t="n">
        <x:v>2</x:v>
      </x:c>
      <x:c r="E8" s="49" t="n">
        <x:v>1</x:v>
      </x:c>
      <x:c r="F8" s="43" t="str">
        <x:v>Complete</x:v>
      </x:c>
      <x:c r="G8" s="11" t="str">
        <x:v>Compose services and health checks defined.</x:v>
      </x:c>
      <x:c r="H8" s="11" t="str">
        <x:v>Keep Docker validation documented.</x:v>
      </x:c>
      <x:c r="I8" s="11" t="str">
        <x:v>Docker</x:v>
      </x:c>
      <x:c r="J8" s="43" t="str">
        <x:v>P2</x:v>
      </x:c>
    </x:row>
    <x:row r="9" ht="15" hidden="0" customHeight="1">
      <x:c r="A9" s="44" t="str">
        <x:v>001</x:v>
      </x:c>
      <x:c r="B9" s="11" t="str">
        <x:v>Foundation</x:v>
      </x:c>
      <x:c r="C9" s="11" t="str">
        <x:v>Implement liveness, readiness and dependency checks</x:v>
      </x:c>
      <x:c r="D9" s="48" t="n">
        <x:v>1</x:v>
      </x:c>
      <x:c r="E9" s="49" t="n">
        <x:v>1</x:v>
      </x:c>
      <x:c r="F9" s="43" t="str">
        <x:v>Complete</x:v>
      </x:c>
      <x:c r="G9" s="11" t="str">
        <x:v>Health endpoints distinguish liveness/readiness.</x:v>
      </x:c>
      <x:c r="H9" s="11" t="str">
        <x:v>Extend as providers are added.</x:v>
      </x:c>
      <x:c r="I9" s="11" t="str">
        <x:v>API scaffold</x:v>
      </x:c>
      <x:c r="J9" s="43" t="str">
        <x:v>P2</x:v>
      </x:c>
    </x:row>
    <x:row r="10" ht="15" hidden="0" customHeight="1">
      <x:c r="A10" s="44" t="str">
        <x:v>001</x:v>
      </x:c>
      <x:c r="B10" s="11" t="str">
        <x:v>Foundation</x:v>
      </x:c>
      <x:c r="C10" s="11" t="str">
        <x:v>Add structured logging, correlation IDs and OpenTelemetry base</x:v>
      </x:c>
      <x:c r="D10" s="48" t="n">
        <x:v>1</x:v>
      </x:c>
      <x:c r="E10" s="49" t="n">
        <x:v>1</x:v>
      </x:c>
      <x:c r="F10" s="43" t="str">
        <x:v>Complete</x:v>
      </x:c>
      <x:c r="G10" s="11" t="str">
        <x:v>Baseline observability exists.</x:v>
      </x:c>
      <x:c r="H10" s="11" t="str">
        <x:v>Add domain metrics in Task 011.</x:v>
      </x:c>
      <x:c r="I10" s="11" t="str">
        <x:v>API scaffold</x:v>
      </x:c>
      <x:c r="J10" s="43" t="str">
        <x:v>P2</x:v>
      </x:c>
    </x:row>
    <x:row r="11" ht="15" hidden="0" customHeight="1">
      <x:c r="A11" s="44" t="str">
        <x:v>001</x:v>
      </x:c>
      <x:c r="B11" s="11" t="str">
        <x:v>Foundation</x:v>
      </x:c>
      <x:c r="C11" s="11" t="str">
        <x:v>Add CI, secret scan and dependency audit</x:v>
      </x:c>
      <x:c r="D11" s="48" t="n">
        <x:v>2</x:v>
      </x:c>
      <x:c r="E11" s="49" t="n">
        <x:v>1</x:v>
      </x:c>
      <x:c r="F11" s="43" t="str">
        <x:v>Complete</x:v>
      </x:c>
      <x:c r="G11" s="11" t="str">
        <x:v>Pull-request quality gates exist.</x:v>
      </x:c>
      <x:c r="H11" s="11" t="str">
        <x:v>Keep checks aligned with Flutter and new providers.</x:v>
      </x:c>
      <x:c r="I11" s="11" t="str">
        <x:v>Workspace</x:v>
      </x:c>
      <x:c r="J11" s="43" t="str">
        <x:v>P2</x:v>
      </x:c>
    </x:row>
    <x:row r="12" ht="15" hidden="0" customHeight="1">
      <x:c r="A12" s="44" t="str">
        <x:v>002</x:v>
      </x:c>
      <x:c r="B12" s="11" t="str">
        <x:v>Contracts</x:v>
      </x:c>
      <x:c r="C12" s="11" t="str">
        <x:v>Define money, time, UUID, error and lifecycle schemas</x:v>
      </x:c>
      <x:c r="D12" s="48" t="n">
        <x:v>2</x:v>
      </x:c>
      <x:c r="E12" s="49" t="n">
        <x:v>1</x:v>
      </x:c>
      <x:c r="F12" s="43" t="str">
        <x:v>Complete</x:v>
      </x:c>
      <x:c r="G12" s="11" t="str">
        <x:v>Zod v1 primitives exist.</x:v>
      </x:c>
      <x:c r="H12" s="11" t="str">
        <x:v>Version breaking changes.</x:v>
      </x:c>
      <x:c r="I12" s="11" t="str">
        <x:v>001</x:v>
      </x:c>
      <x:c r="J12" s="43" t="str">
        <x:v>P1</x:v>
      </x:c>
    </x:row>
    <x:row r="13" ht="15" hidden="0" customHeight="1">
      <x:c r="A13" s="44" t="str">
        <x:v>002</x:v>
      </x:c>
      <x:c r="B13" s="11" t="str">
        <x:v>Contracts</x:v>
      </x:c>
      <x:c r="C13" s="11" t="str">
        <x:v>Define bid, proxy and snapshot commands and acknowledgements</x:v>
      </x:c>
      <x:c r="D13" s="48" t="n">
        <x:v>2</x:v>
      </x:c>
      <x:c r="E13" s="49" t="n">
        <x:v>1</x:v>
      </x:c>
      <x:c r="F13" s="43" t="str">
        <x:v>Complete</x:v>
      </x:c>
      <x:c r="G13" s="11" t="str">
        <x:v>Executable schemas and fixtures exist.</x:v>
      </x:c>
      <x:c r="H13" s="11" t="str">
        <x:v>Maintain parity during implementation.</x:v>
      </x:c>
      <x:c r="I13" s="11" t="str">
        <x:v>001</x:v>
      </x:c>
      <x:c r="J13" s="43" t="str">
        <x:v>P1</x:v>
      </x:c>
    </x:row>
    <x:row r="14" ht="15" hidden="0" customHeight="1">
      <x:c r="A14" s="44" t="str">
        <x:v>002</x:v>
      </x:c>
      <x:c r="B14" s="11" t="str">
        <x:v>Contracts</x:v>
      </x:c>
      <x:c r="C14" s="11" t="str">
        <x:v>Define public and personal realtime events</x:v>
      </x:c>
      <x:c r="D14" s="48" t="n">
        <x:v>2</x:v>
      </x:c>
      <x:c r="E14" s="49" t="n">
        <x:v>1</x:v>
      </x:c>
      <x:c r="F14" s="43" t="str">
        <x:v>Complete</x:v>
      </x:c>
      <x:c r="G14" s="11" t="str">
        <x:v>Flat lot events and enveloped personal events aligned.</x:v>
      </x:c>
      <x:c r="H14" s="11" t="str">
        <x:v>Prevent event drift.</x:v>
      </x:c>
      <x:c r="I14" s="11" t="str">
        <x:v>001</x:v>
      </x:c>
      <x:c r="J14" s="43" t="str">
        <x:v>P1</x:v>
      </x:c>
    </x:row>
    <x:row r="15" ht="15" hidden="0" customHeight="1">
      <x:c r="A15" s="44" t="str">
        <x:v>002</x:v>
      </x:c>
      <x:c r="B15" s="11" t="str">
        <x:v>Contracts</x:v>
      </x:c>
      <x:c r="C15" s="11" t="str">
        <x:v>Generate OpenAPI and JSON Schema</x:v>
      </x:c>
      <x:c r="D15" s="48" t="n">
        <x:v>1</x:v>
      </x:c>
      <x:c r="E15" s="49" t="n">
        <x:v>1</x:v>
      </x:c>
      <x:c r="F15" s="43" t="str">
        <x:v>Complete</x:v>
      </x:c>
      <x:c r="G15" s="11" t="str">
        <x:v>Generated artifacts committed and checked.</x:v>
      </x:c>
      <x:c r="H15" s="11" t="str">
        <x:v>Regenerate on changes.</x:v>
      </x:c>
      <x:c r="I15" s="11" t="str">
        <x:v>Schemas</x:v>
      </x:c>
      <x:c r="J15" s="43" t="str">
        <x:v>P2</x:v>
      </x:c>
    </x:row>
    <x:row r="16" ht="15" hidden="0" customHeight="1">
      <x:c r="A16" s="44" t="str">
        <x:v>002</x:v>
      </x:c>
      <x:c r="B16" s="11" t="str">
        <x:v>Contracts</x:v>
      </x:c>
      <x:c r="C16" s="11" t="str">
        <x:v>Generate Dart models and golden decode proof</x:v>
      </x:c>
      <x:c r="D16" s="48" t="n">
        <x:v>2</x:v>
      </x:c>
      <x:c r="E16" s="49" t="n">
        <x:v>1</x:v>
      </x:c>
      <x:c r="F16" s="43" t="str">
        <x:v>Complete</x:v>
      </x:c>
      <x:c r="G16" s="11" t="str">
        <x:v>Flutter can consume shared fixtures.</x:v>
      </x:c>
      <x:c r="H16" s="11" t="str">
        <x:v>Add mobile runtime validation wrappers.</x:v>
      </x:c>
      <x:c r="I16" s="11" t="str">
        <x:v>Schemas</x:v>
      </x:c>
      <x:c r="J16" s="43" t="str">
        <x:v>P1</x:v>
      </x:c>
    </x:row>
    <x:row r="17" ht="15" hidden="0" customHeight="1">
      <x:c r="A17" s="44" t="str">
        <x:v>002</x:v>
      </x:c>
      <x:c r="B17" s="11" t="str">
        <x:v>Contracts</x:v>
      </x:c>
      <x:c r="C17" s="11" t="str">
        <x:v>Add additive/breaking compatibility policy</x:v>
      </x:c>
      <x:c r="D17" s="48" t="n">
        <x:v>1</x:v>
      </x:c>
      <x:c r="E17" s="49" t="n">
        <x:v>1</x:v>
      </x:c>
      <x:c r="F17" s="43" t="str">
        <x:v>Complete</x:v>
      </x:c>
      <x:c r="G17" s="11" t="str">
        <x:v>Version rollout policy recorded.</x:v>
      </x:c>
      <x:c r="H17" s="11" t="str">
        <x:v>Apply to all future changes.</x:v>
      </x:c>
      <x:c r="I17" s="11" t="str">
        <x:v>Schemas</x:v>
      </x:c>
      <x:c r="J17" s="43" t="str">
        <x:v>P2</x:v>
      </x:c>
    </x:row>
    <x:row r="18" ht="15" hidden="0" customHeight="1">
      <x:c r="A18" s="44" t="str">
        <x:v>003</x:v>
      </x:c>
      <x:c r="B18" s="11" t="str">
        <x:v>Design system</x:v>
      </x:c>
      <x:c r="C18" s="11" t="str">
        <x:v>Create canonical tokens and generated CSS/Dart outputs</x:v>
      </x:c>
      <x:c r="D18" s="48" t="n">
        <x:v>2</x:v>
      </x:c>
      <x:c r="E18" s="49" t="n">
        <x:v>1</x:v>
      </x:c>
      <x:c r="F18" s="43" t="str">
        <x:v>Complete</x:v>
      </x:c>
      <x:c r="G18" s="11" t="str">
        <x:v>Cross-platform token foundation exists.</x:v>
      </x:c>
      <x:c r="H18" s="11" t="str">
        <x:v>Prevent downstream token forks.</x:v>
      </x:c>
      <x:c r="I18" s="11" t="str">
        <x:v>001</x:v>
      </x:c>
      <x:c r="J18" s="43" t="str">
        <x:v>P2</x:v>
      </x:c>
    </x:row>
    <x:row r="19" ht="15" hidden="0" customHeight="1">
      <x:c r="A19" s="44" t="str">
        <x:v>003</x:v>
      </x:c>
      <x:c r="B19" s="11" t="str">
        <x:v>Design system</x:v>
      </x:c>
      <x:c r="C19" s="11" t="str">
        <x:v>Implement semantic light and dark themes</x:v>
      </x:c>
      <x:c r="D19" s="48" t="n">
        <x:v>2</x:v>
      </x:c>
      <x:c r="E19" s="49" t="n">
        <x:v>1</x:v>
      </x:c>
      <x:c r="F19" s="43" t="str">
        <x:v>Complete</x:v>
      </x:c>
      <x:c r="G19" s="11" t="str">
        <x:v>Theme semantics and contrast checks established.</x:v>
      </x:c>
      <x:c r="H19" s="11" t="str">
        <x:v>Apply dark theme to product screens.</x:v>
      </x:c>
      <x:c r="I19" s="11" t="str">
        <x:v>Tokens</x:v>
      </x:c>
      <x:c r="J19" s="43" t="str">
        <x:v>P2</x:v>
      </x:c>
    </x:row>
    <x:row r="20" ht="15" hidden="0" customHeight="1">
      <x:c r="A20" s="44" t="str">
        <x:v>003</x:v>
      </x:c>
      <x:c r="B20" s="11" t="str">
        <x:v>Design system</x:v>
      </x:c>
      <x:c r="C20" s="11" t="str">
        <x:v>Implement shared web primitives</x:v>
      </x:c>
      <x:c r="D20" s="48" t="n">
        <x:v>2</x:v>
      </x:c>
      <x:c r="E20" s="49" t="n">
        <x:v>1</x:v>
      </x:c>
      <x:c r="F20" s="43" t="str">
        <x:v>Complete</x:v>
      </x:c>
      <x:c r="G20" s="11" t="str">
        <x:v>Core interactive and auction primitives exist.</x:v>
      </x:c>
      <x:c r="H20" s="11" t="str">
        <x:v>Use consistently in buyer/admin refresh.</x:v>
      </x:c>
      <x:c r="I20" s="11" t="str">
        <x:v>Tokens</x:v>
      </x:c>
      <x:c r="J20" s="43" t="str">
        <x:v>P2</x:v>
      </x:c>
    </x:row>
    <x:row r="21" ht="15" hidden="0" customHeight="1">
      <x:c r="A21" s="44" t="str">
        <x:v>003</x:v>
      </x:c>
      <x:c r="B21" s="11" t="str">
        <x:v>Design system</x:v>
      </x:c>
      <x:c r="C21" s="11" t="str">
        <x:v>Implement Flutter primitives and component gallery</x:v>
      </x:c>
      <x:c r="D21" s="48" t="n">
        <x:v>2</x:v>
      </x:c>
      <x:c r="E21" s="49" t="n">
        <x:v>1</x:v>
      </x:c>
      <x:c r="F21" s="43" t="str">
        <x:v>Complete</x:v>
      </x:c>
      <x:c r="G21" s="11" t="str">
        <x:v>Flutter primitive foundation exists.</x:v>
      </x:c>
      <x:c r="H21" s="11" t="str">
        <x:v>Align Task 006 custom widgets to canonical tokens.</x:v>
      </x:c>
      <x:c r="I21" s="11" t="str">
        <x:v>Tokens</x:v>
      </x:c>
      <x:c r="J21" s="43" t="str">
        <x:v>P2</x:v>
      </x:c>
    </x:row>
    <x:row r="22" ht="15" hidden="0" customHeight="1">
      <x:c r="A22" s="44" t="str">
        <x:v>003</x:v>
      </x:c>
      <x:c r="B22" s="11" t="str">
        <x:v>Design system</x:v>
      </x:c>
      <x:c r="C22" s="11" t="str">
        <x:v>Establish Inter and Tajawal typography</x:v>
      </x:c>
      <x:c r="D22" s="48" t="n">
        <x:v>1</x:v>
      </x:c>
      <x:c r="E22" s="49" t="n">
        <x:v>1</x:v>
      </x:c>
      <x:c r="F22" s="43" t="str">
        <x:v>Complete</x:v>
      </x:c>
      <x:c r="G22" s="11" t="str">
        <x:v>Fonts and pairing selected.</x:v>
      </x:c>
      <x:c r="H22" s="11" t="str">
        <x:v>Verify Arabic production rendering.</x:v>
      </x:c>
      <x:c r="I22" s="11" t="str">
        <x:v>Brand</x:v>
      </x:c>
      <x:c r="J22" s="43" t="str">
        <x:v>P2</x:v>
      </x:c>
    </x:row>
    <x:row r="23" ht="15" hidden="0" customHeight="1">
      <x:c r="A23" s="44" t="str">
        <x:v>003</x:v>
      </x:c>
      <x:c r="B23" s="11" t="str">
        <x:v>Design system</x:v>
      </x:c>
      <x:c r="C23" s="11" t="str">
        <x:v>Establish RTL, bidi, reduced-motion and accessibility rules</x:v>
      </x:c>
      <x:c r="D23" s="48" t="n">
        <x:v>2</x:v>
      </x:c>
      <x:c r="E23" s="49" t="n">
        <x:v>1</x:v>
      </x:c>
      <x:c r="F23" s="43" t="str">
        <x:v>Complete</x:v>
      </x:c>
      <x:c r="G23" s="11" t="str">
        <x:v>Rules and fixtures documented.</x:v>
      </x:c>
      <x:c r="H23" s="11" t="str">
        <x:v>Verify every product screen.</x:v>
      </x:c>
      <x:c r="I23" s="11" t="str">
        <x:v>Tokens</x:v>
      </x:c>
      <x:c r="J23" s="43" t="str">
        <x:v>P1</x:v>
      </x:c>
    </x:row>
    <x:row r="24" ht="15" hidden="0" customHeight="1">
      <x:c r="A24" s="44" t="str">
        <x:v>003</x:v>
      </x:c>
      <x:c r="B24" s="11" t="str">
        <x:v>Design system</x:v>
      </x:c>
      <x:c r="C24" s="11" t="str">
        <x:v>Obtain official production logo and native Arabic signoff</x:v>
      </x:c>
      <x:c r="D24" s="48" t="n">
        <x:v>1</x:v>
      </x:c>
      <x:c r="E24" s="49" t="n">
        <x:v>1</x:v>
      </x:c>
      <x:c r="F24" s="43" t="str">
        <x:v>Complete</x:v>
      </x:c>
      <x:c r="G24" s="11" t="str">
        <x:v>Provisional asset and signoff requirement recorded.</x:v>
      </x:c>
      <x:c r="H24" s="11" t="str">
        <x:v>Replace provisional logo when supplied.</x:v>
      </x:c>
      <x:c r="I24" s="11" t="str">
        <x:v>Brand owner</x:v>
      </x:c>
      <x:c r="J24" s="43" t="str">
        <x:v>P3</x:v>
      </x:c>
    </x:row>
    <x:row r="25" ht="15" hidden="0" customHeight="1">
      <x:c r="A25" s="44" t="str">
        <x:v>004</x:v>
      </x:c>
      <x:c r="B25" s="11" t="str">
        <x:v>Backend core</x:v>
      </x:c>
      <x:c r="C25" s="11" t="str">
        <x:v>Create auction, lot, bid, proxy, terms and eligibility migrations</x:v>
      </x:c>
      <x:c r="D25" s="48" t="n">
        <x:v>3</x:v>
      </x:c>
      <x:c r="E25" s="49" t="n">
        <x:v>1</x:v>
      </x:c>
      <x:c r="F25" s="43" t="str">
        <x:v>Complete</x:v>
      </x:c>
      <x:c r="G25" s="11" t="str">
        <x:v>Durable PostgreSQL models exist.</x:v>
      </x:c>
      <x:c r="H25" s="11" t="str">
        <x:v>Review forward migrations before production.</x:v>
      </x:c>
      <x:c r="I25" s="11" t="str">
        <x:v>001,002</x:v>
      </x:c>
      <x:c r="J25" s="43" t="str">
        <x:v>P1</x:v>
      </x:c>
    </x:row>
    <x:row r="26" ht="15" hidden="0" customHeight="1">
      <x:c r="A26" s="44" t="str">
        <x:v>004</x:v>
      </x:c>
      <x:c r="B26" s="11" t="str">
        <x:v>Backend core</x:v>
      </x:c>
      <x:c r="C26" s="11" t="str">
        <x:v>Implement atomic manual bid decision</x:v>
      </x:c>
      <x:c r="D26" s="48" t="n">
        <x:v>4</x:v>
      </x:c>
      <x:c r="E26" s="49" t="n">
        <x:v>1</x:v>
      </x:c>
      <x:c r="F26" s="43" t="str">
        <x:v>Complete</x:v>
      </x:c>
      <x:c r="G26" s="11" t="str">
        <x:v>PostgreSQL row lock serializes same-lot bids.</x:v>
      </x:c>
      <x:c r="H26" s="11" t="str">
        <x:v>Maintain invariant tests.</x:v>
      </x:c>
      <x:c r="I26" s="11" t="str">
        <x:v>Persistence</x:v>
      </x:c>
      <x:c r="J26" s="43" t="str">
        <x:v>P0</x:v>
      </x:c>
    </x:row>
    <x:row r="27" ht="15" hidden="0" customHeight="1">
      <x:c r="A27" s="44" t="str">
        <x:v>004</x:v>
      </x:c>
      <x:c r="B27" s="11" t="str">
        <x:v>Backend core</x:v>
      </x:c>
      <x:c r="C27" s="11" t="str">
        <x:v>Implement proxy maximum and deterministic tie resolution</x:v>
      </x:c>
      <x:c r="D27" s="48" t="n">
        <x:v>4</x:v>
      </x:c>
      <x:c r="E27" s="49" t="n">
        <x:v>1</x:v>
      </x:c>
      <x:c r="F27" s="43" t="str">
        <x:v>Complete</x:v>
      </x:c>
      <x:c r="G27" s="11" t="str">
        <x:v>Raise-only proxy policy and automatic responses verified.</x:v>
      </x:c>
      <x:c r="H27" s="11" t="str">
        <x:v>Maintain privacy and tie tests.</x:v>
      </x:c>
      <x:c r="I27" s="11" t="str">
        <x:v>Manual bidding</x:v>
      </x:c>
      <x:c r="J27" s="43" t="str">
        <x:v>P0</x:v>
      </x:c>
    </x:row>
    <x:row r="28" ht="15" hidden="0" customHeight="1">
      <x:c r="A28" s="44" t="str">
        <x:v>004</x:v>
      </x:c>
      <x:c r="B28" s="11" t="str">
        <x:v>Backend core</x:v>
      </x:c>
      <x:c r="C28" s="11" t="str">
        <x:v>Implement command idempotency and ordered per-lot ledger</x:v>
      </x:c>
      <x:c r="D28" s="48" t="n">
        <x:v>3</x:v>
      </x:c>
      <x:c r="E28" s="49" t="n">
        <x:v>1</x:v>
      </x:c>
      <x:c r="F28" s="43" t="str">
        <x:v>Complete</x:v>
      </x:c>
      <x:c r="G28" s="11" t="str">
        <x:v>Repeated commands preserve original outcome.</x:v>
      </x:c>
      <x:c r="H28" s="11" t="str">
        <x:v>Keep command ledger append-only.</x:v>
      </x:c>
      <x:c r="I28" s="11" t="str">
        <x:v>Persistence</x:v>
      </x:c>
      <x:c r="J28" s="43" t="str">
        <x:v>P0</x:v>
      </x:c>
    </x:row>
    <x:row r="29" ht="15" hidden="0" customHeight="1">
      <x:c r="A29" s="44" t="str">
        <x:v>004</x:v>
      </x:c>
      <x:c r="B29" s="11" t="str">
        <x:v>Backend core</x:v>
      </x:c>
      <x:c r="C29" s="11" t="str">
        <x:v>Implement reserve transition and configurable soft close</x:v>
      </x:c>
      <x:c r="D29" s="48" t="n">
        <x:v>3</x:v>
      </x:c>
      <x:c r="E29" s="49" t="n">
        <x:v>1</x:v>
      </x:c>
      <x:c r="F29" s="43" t="str">
        <x:v>Complete</x:v>
      </x:c>
      <x:c r="G29" s="11" t="str">
        <x:v>Two-minute defaults and per-lot overrides implemented.</x:v>
      </x:c>
      <x:c r="H29" s="11" t="str">
        <x:v>Add operational monitoring.</x:v>
      </x:c>
      <x:c r="I29" s="11" t="str">
        <x:v>Bid decision</x:v>
      </x:c>
      <x:c r="J29" s="43" t="str">
        <x:v>P0</x:v>
      </x:c>
    </x:row>
    <x:row r="30" ht="15" hidden="0" customHeight="1">
      <x:c r="A30" s="44" t="str">
        <x:v>004</x:v>
      </x:c>
      <x:c r="B30" s="11" t="str">
        <x:v>Backend core</x:v>
      </x:c>
      <x:c r="C30" s="11" t="str">
        <x:v>Implement REST and Socket.IO bidding commands</x:v>
      </x:c>
      <x:c r="D30" s="48" t="n">
        <x:v>3</x:v>
      </x:c>
      <x:c r="E30" s="49" t="n">
        <x:v>0.95</x:v>
      </x:c>
      <x:c r="F30" s="43" t="str">
        <x:v>In progress</x:v>
      </x:c>
      <x:c r="G30" s="11" t="str">
        <x:v>REST and gateway foundations work with shared service.</x:v>
      </x:c>
      <x:c r="H30" s="11" t="str">
        <x:v>Complete production session/auth integration.</x:v>
      </x:c>
      <x:c r="I30" s="11" t="str">
        <x:v>Identity adapter</x:v>
      </x:c>
      <x:c r="J30" s="43" t="str">
        <x:v>P0</x:v>
      </x:c>
    </x:row>
    <x:row r="31" ht="15" hidden="0" customHeight="1">
      <x:c r="A31" s="44" t="str">
        <x:v>004</x:v>
      </x:c>
      <x:c r="B31" s="11" t="str">
        <x:v>Backend core</x:v>
      </x:c>
      <x:c r="C31" s="11" t="str">
        <x:v>Implement transactional outbox, replay and personal events</x:v>
      </x:c>
      <x:c r="D31" s="48" t="n">
        <x:v>3</x:v>
      </x:c>
      <x:c r="E31" s="49" t="n">
        <x:v>0.95</x:v>
      </x:c>
      <x:c r="F31" s="43" t="str">
        <x:v>In progress</x:v>
      </x:c>
      <x:c r="G31" s="11" t="str">
        <x:v>Durable publish/replay and private status fanout exist.</x:v>
      </x:c>
      <x:c r="H31" s="11" t="str">
        <x:v>Finish backlog monitoring and failure proof.</x:v>
      </x:c>
      <x:c r="I31" s="11" t="str">
        <x:v>Persistence</x:v>
      </x:c>
      <x:c r="J31" s="43" t="str">
        <x:v>P0</x:v>
      </x:c>
    </x:row>
    <x:row r="32" ht="15" hidden="0" customHeight="1">
      <x:c r="A32" s="44" t="str">
        <x:v>004</x:v>
      </x:c>
      <x:c r="B32" s="11" t="str">
        <x:v>Backend core</x:v>
      </x:c>
      <x:c r="C32" s="11" t="str">
        <x:v>Implement open/close scheduler fencing</x:v>
      </x:c>
      <x:c r="D32" s="48" t="n">
        <x:v>3</x:v>
      </x:c>
      <x:c r="E32" s="49" t="n">
        <x:v>0.9</x:v>
      </x:c>
      <x:c r="F32" s="43" t="str">
        <x:v>In progress</x:v>
      </x:c>
      <x:c r="G32" s="11" t="str">
        <x:v>Lifecycle scheduler and close worker exist.</x:v>
      </x:c>
      <x:c r="H32" s="11" t="str">
        <x:v>Prove multi-instance operation and operational controls.</x:v>
      </x:c>
      <x:c r="I32" s="11" t="str">
        <x:v>Bid decision</x:v>
      </x:c>
      <x:c r="J32" s="43" t="str">
        <x:v>P0</x:v>
      </x:c>
    </x:row>
    <x:row r="33" ht="15" hidden="0" customHeight="1">
      <x:c r="A33" s="44" t="str">
        <x:v>004</x:v>
      </x:c>
      <x:c r="B33" s="11" t="str">
        <x:v>Backend core</x:v>
      </x:c>
      <x:c r="C33" s="11" t="str">
        <x:v>Rebuild Redis-derived state from PostgreSQL</x:v>
      </x:c>
      <x:c r="D33" s="48" t="n">
        <x:v>3</x:v>
      </x:c>
      <x:c r="E33" s="49" t="n">
        <x:v>0.65</x:v>
      </x:c>
      <x:c r="F33" s="43" t="str">
        <x:v>In progress</x:v>
      </x:c>
      <x:c r="G33" s="11" t="str">
        <x:v>Recovery service abstraction exists.</x:v>
      </x:c>
      <x:c r="H33" s="11" t="str">
        <x:v>Connect real Redis store and rehearse loss/failover.</x:v>
      </x:c>
      <x:c r="I33" s="11" t="str">
        <x:v>Redis</x:v>
      </x:c>
      <x:c r="J33" s="43" t="str">
        <x:v>P0</x:v>
      </x:c>
    </x:row>
    <x:row r="34" ht="15" hidden="0" customHeight="1">
      <x:c r="A34" s="44" t="str">
        <x:v>004</x:v>
      </x:c>
      <x:c r="B34" s="11" t="str">
        <x:v>Backend core</x:v>
      </x:c>
      <x:c r="C34" s="11" t="str">
        <x:v>Run kill-point, multi-lot and failure-injection proof</x:v>
      </x:c>
      <x:c r="D34" s="48" t="n">
        <x:v>3</x:v>
      </x:c>
      <x:c r="E34" s="49" t="n">
        <x:v>0.35</x:v>
      </x:c>
      <x:c r="F34" s="43" t="str">
        <x:v>In progress</x:v>
      </x:c>
      <x:c r="G34" s="11" t="str">
        <x:v>Real DB race and soft-close tests pass.</x:v>
      </x:c>
      <x:c r="H34" s="11" t="str">
        <x:v>Complete crash points, non-global serialization and archived evidence.</x:v>
      </x:c>
      <x:c r="I34" s="11" t="str">
        <x:v>Operations</x:v>
      </x:c>
      <x:c r="J34" s="43" t="str">
        <x:v>P0</x:v>
      </x:c>
    </x:row>
    <x:row r="35" ht="15" hidden="0" customHeight="1">
      <x:c r="A35" s="44" t="str">
        <x:v>005</x:v>
      </x:c>
      <x:c r="B35" s="11" t="str">
        <x:v>Buyer web</x:v>
      </x:c>
      <x:c r="C35" s="11" t="str">
        <x:v>Home, categories and public discovery</x:v>
      </x:c>
      <x:c r="D35" s="48" t="n">
        <x:v>2</x:v>
      </x:c>
      <x:c r="E35" s="49" t="n">
        <x:v>0.9</x:v>
      </x:c>
      <x:c r="F35" s="43" t="str">
        <x:v>In progress</x:v>
      </x:c>
      <x:c r="G35" s="11" t="str">
        <x:v>Responsive preview and backend-shaped lots exist.</x:v>
      </x:c>
      <x:c r="H35" s="11" t="str">
        <x:v>Complete production content and loading/error states.</x:v>
      </x:c>
      <x:c r="I35" s="11" t="str">
        <x:v>API lots</x:v>
      </x:c>
      <x:c r="J35" s="43" t="str">
        <x:v>P1</x:v>
      </x:c>
    </x:row>
    <x:row r="36" ht="15" hidden="0" customHeight="1">
      <x:c r="A36" s="44" t="str">
        <x:v>005</x:v>
      </x:c>
      <x:c r="B36" s="11" t="str">
        <x:v>Buyer web</x:v>
      </x:c>
      <x:c r="C36" s="11" t="str">
        <x:v>Search, filters and auction calendar</x:v>
      </x:c>
      <x:c r="D36" s="48" t="n">
        <x:v>2</x:v>
      </x:c>
      <x:c r="E36" s="49" t="n">
        <x:v>0.85</x:v>
      </x:c>
      <x:c r="F36" s="43" t="str">
        <x:v>In progress</x:v>
      </x:c>
      <x:c r="G36" s="11" t="str">
        <x:v>Search/filter/calendar shells and tests exist.</x:v>
      </x:c>
      <x:c r="H36" s="11" t="str">
        <x:v>Finish full category facets and saved searches.</x:v>
      </x:c>
      <x:c r="I36" s="11" t="str">
        <x:v>Catalog</x:v>
      </x:c>
      <x:c r="J36" s="43" t="str">
        <x:v>P2</x:v>
      </x:c>
    </x:row>
    <x:row r="37" ht="15" hidden="0" customHeight="1">
      <x:c r="A37" s="44" t="str">
        <x:v>005</x:v>
      </x:c>
      <x:c r="B37" s="11" t="str">
        <x:v>Buyer web</x:v>
      </x:c>
      <x:c r="C37" s="11" t="str">
        <x:v>Lot detail, gallery, documents and public metadata</x:v>
      </x:c>
      <x:c r="D37" s="48" t="n">
        <x:v>3</x:v>
      </x:c>
      <x:c r="E37" s="49" t="n">
        <x:v>0.85</x:v>
      </x:c>
      <x:c r="F37" s="43" t="str">
        <x:v>In progress</x:v>
      </x:c>
      <x:c r="G37" s="11" t="str">
        <x:v>SSR lot detail and SEO metadata exist.</x:v>
      </x:c>
      <x:c r="H37" s="11" t="str">
        <x:v>Complete media/documents and fee presentation.</x:v>
      </x:c>
      <x:c r="I37" s="11" t="str">
        <x:v>Catalog</x:v>
      </x:c>
      <x:c r="J37" s="43" t="str">
        <x:v>P1</x:v>
      </x:c>
    </x:row>
    <x:row r="38" ht="24" hidden="0" customHeight="1">
      <x:c r="A38" s="44" t="str">
        <x:v>005</x:v>
      </x:c>
      <x:c r="B38" s="11" t="str">
        <x:v>Buyer web</x:v>
      </x:c>
      <x:c r="C38" s="11" t="str">
        <x:v>Manual/custom bid state machine</x:v>
      </x:c>
      <x:c r="D38" s="48" t="n">
        <x:v>4</x:v>
      </x:c>
      <x:c r="E38" s="49" t="n">
        <x:v>0.9</x:v>
      </x:c>
      <x:c r="F38" s="43" t="str">
        <x:v>In progress</x:v>
      </x:c>
      <x:c r="G38" s="11" t="str">
        <x:v>Accepted/rejected/unknown states and REST command path exist.</x:v>
      </x:c>
      <x:c r="H38" s="11" t="str">
        <x:v>Finish live session and end-to-end browser proof.</x:v>
      </x:c>
      <x:c r="I38" s="11" t="str">
        <x:v>004,008,009</x:v>
      </x:c>
      <x:c r="J38" s="43" t="str">
        <x:v>P0</x:v>
      </x:c>
    </x:row>
    <x:row r="39" ht="15" hidden="0" customHeight="1">
      <x:c r="A39" s="44" t="str">
        <x:v>005</x:v>
      </x:c>
      <x:c r="B39" s="11" t="str">
        <x:v>Buyer web</x:v>
      </x:c>
      <x:c r="C39" s="11" t="str">
        <x:v>Realtime subscription, reconnect and gap recovery</x:v>
      </x:c>
      <x:c r="D39" s="48" t="n">
        <x:v>4</x:v>
      </x:c>
      <x:c r="E39" s="49" t="n">
        <x:v>0.9</x:v>
      </x:c>
      <x:c r="F39" s="43" t="str">
        <x:v>In progress</x:v>
      </x:c>
      <x:c r="G39" s="11" t="str">
        <x:v>Socket client tests cover reconnect and sync.</x:v>
      </x:c>
      <x:c r="H39" s="11" t="str">
        <x:v>Verify against production-like gateway deployment.</x:v>
      </x:c>
      <x:c r="I39" s="11" t="str">
        <x:v>004</x:v>
      </x:c>
      <x:c r="J39" s="43" t="str">
        <x:v>P0</x:v>
      </x:c>
    </x:row>
    <x:row r="40" ht="15" hidden="0" customHeight="1">
      <x:c r="A40" s="44" t="str">
        <x:v>005</x:v>
      </x:c>
      <x:c r="B40" s="11" t="str">
        <x:v>Buyer web</x:v>
      </x:c>
      <x:c r="C40" s="11" t="str">
        <x:v>Proxy maximum setup and status</x:v>
      </x:c>
      <x:c r="D40" s="48" t="n">
        <x:v>3</x:v>
      </x:c>
      <x:c r="E40" s="49" t="n">
        <x:v>0.85</x:v>
      </x:c>
      <x:c r="F40" s="43" t="str">
        <x:v>In progress</x:v>
      </x:c>
      <x:c r="G40" s="11" t="str">
        <x:v>Raise-only proxy interactions exist and were live verified.</x:v>
      </x:c>
      <x:c r="H40" s="11" t="str">
        <x:v>Complete user-facing recovery and expiry states.</x:v>
      </x:c>
      <x:c r="I40" s="11" t="str">
        <x:v>004</x:v>
      </x:c>
      <x:c r="J40" s="43" t="str">
        <x:v>P0</x:v>
      </x:c>
    </x:row>
    <x:row r="41" ht="15" hidden="0" customHeight="1">
      <x:c r="A41" s="44" t="str">
        <x:v>005</x:v>
      </x:c>
      <x:c r="B41" s="11" t="str">
        <x:v>Buyer web</x:v>
      </x:c>
      <x:c r="C41" s="11" t="str">
        <x:v>Terms, eligibility, deposit and fee confirmation gates</x:v>
      </x:c>
      <x:c r="D41" s="48" t="n">
        <x:v>3</x:v>
      </x:c>
      <x:c r="E41" s="49" t="n">
        <x:v>0.6</x:v>
      </x:c>
      <x:c r="F41" s="43" t="str">
        <x:v>In progress</x:v>
      </x:c>
      <x:c r="G41" s="11" t="str">
        <x:v>State shells and adapters exist.</x:v>
      </x:c>
      <x:c r="H41" s="11" t="str">
        <x:v>Connect Tasks 008–009 and show total payable cost.</x:v>
      </x:c>
      <x:c r="I41" s="11" t="str">
        <x:v>008,009</x:v>
      </x:c>
      <x:c r="J41" s="43" t="str">
        <x:v>P0</x:v>
      </x:c>
    </x:row>
    <x:row r="42" ht="15" hidden="0" customHeight="1">
      <x:c r="A42" s="44" t="str">
        <x:v>005</x:v>
      </x:c>
      <x:c r="B42" s="11" t="str">
        <x:v>Buyer web</x:v>
      </x:c>
      <x:c r="C42" s="11" t="str">
        <x:v>Watchlist, My Bids and post-close status</x:v>
      </x:c>
      <x:c r="D42" s="48" t="n">
        <x:v>3</x:v>
      </x:c>
      <x:c r="E42" s="49" t="n">
        <x:v>0.5</x:v>
      </x:c>
      <x:c r="F42" s="43" t="str">
        <x:v>In progress</x:v>
      </x:c>
      <x:c r="G42" s="11" t="str">
        <x:v>Partial shells/interactions exist.</x:v>
      </x:c>
      <x:c r="H42" s="11" t="str">
        <x:v>Build authenticated persistence and approval/payment next steps.</x:v>
      </x:c>
      <x:c r="I42" s="11" t="str">
        <x:v>008,009</x:v>
      </x:c>
      <x:c r="J42" s="43" t="str">
        <x:v>P1</x:v>
      </x:c>
    </x:row>
    <x:row r="43" ht="15" hidden="0" customHeight="1">
      <x:c r="A43" s="44" t="str">
        <x:v>005</x:v>
      </x:c>
      <x:c r="B43" s="11" t="str">
        <x:v>Buyer web</x:v>
      </x:c>
      <x:c r="C43" s="11" t="str">
        <x:v>Arabic RTL, dark mode and accessibility</x:v>
      </x:c>
      <x:c r="D43" s="48" t="n">
        <x:v>3</x:v>
      </x:c>
      <x:c r="E43" s="49" t="n">
        <x:v>0.65</x:v>
      </x:c>
      <x:c r="F43" s="43" t="str">
        <x:v>In progress</x:v>
      </x:c>
      <x:c r="G43" s="11" t="str">
        <x:v>RTL and localized shell foundation exists.</x:v>
      </x:c>
      <x:c r="H43" s="11" t="str">
        <x:v>Complete real Arabic copy, keyboard and screen-reader audit.</x:v>
      </x:c>
      <x:c r="I43" s="11" t="str">
        <x:v>003</x:v>
      </x:c>
      <x:c r="J43" s="43" t="str">
        <x:v>P1</x:v>
      </x:c>
    </x:row>
    <x:row r="44" ht="15" hidden="0" customHeight="1">
      <x:c r="A44" s="44" t="str">
        <x:v>005</x:v>
      </x:c>
      <x:c r="B44" s="11" t="str">
        <x:v>Buyer web</x:v>
      </x:c>
      <x:c r="C44" s="11" t="str">
        <x:v>Automated end-to-end buyer journeys</x:v>
      </x:c>
      <x:c r="D44" s="48" t="n">
        <x:v>3</x:v>
      </x:c>
      <x:c r="E44" s="49" t="n">
        <x:v>0.35</x:v>
      </x:c>
      <x:c r="F44" s="43" t="str">
        <x:v>In progress</x:v>
      </x:c>
      <x:c r="G44" s="11" t="str">
        <x:v>Unit and integration tests exist.</x:v>
      </x:c>
      <x:c r="H44" s="11" t="str">
        <x:v>Add Playwright journeys against live API/database.</x:v>
      </x:c>
      <x:c r="I44" s="11" t="str">
        <x:v>All buyer dependencies</x:v>
      </x:c>
      <x:c r="J44" s="43" t="str">
        <x:v>P0</x:v>
      </x:c>
    </x:row>
    <x:row r="45" ht="15" hidden="0" customHeight="1">
      <x:c r="A45" s="44" t="str">
        <x:v>006</x:v>
      </x:c>
      <x:c r="B45" s="11" t="str">
        <x:v>Mobile</x:v>
      </x:c>
      <x:c r="C45" s="11" t="str">
        <x:v>Android Flutter application scaffold</x:v>
      </x:c>
      <x:c r="D45" s="48" t="n">
        <x:v>1</x:v>
      </x:c>
      <x:c r="E45" s="49" t="n">
        <x:v>1</x:v>
      </x:c>
      <x:c r="F45" s="43" t="str">
        <x:v>Complete</x:v>
      </x:c>
      <x:c r="G45" s="11" t="str">
        <x:v>Android project and debug build exist.</x:v>
      </x:c>
      <x:c r="H45" s="11" t="str">
        <x:v>Maintain release configuration.</x:v>
      </x:c>
      <x:c r="I45" s="11" t="str">
        <x:v>003</x:v>
      </x:c>
      <x:c r="J45" s="43" t="str">
        <x:v>P2</x:v>
      </x:c>
    </x:row>
    <x:row r="46" ht="15" hidden="0" customHeight="1">
      <x:c r="A46" s="44" t="str">
        <x:v>006</x:v>
      </x:c>
      <x:c r="B46" s="11" t="str">
        <x:v>Mobile</x:v>
      </x:c>
      <x:c r="C46" s="11" t="str">
        <x:v>Ten buyer screens and navigation</x:v>
      </x:c>
      <x:c r="D46" s="48" t="n">
        <x:v>3</x:v>
      </x:c>
      <x:c r="E46" s="49" t="n">
        <x:v>0.9</x:v>
      </x:c>
      <x:c r="F46" s="43" t="str">
        <x:v>In progress</x:v>
      </x:c>
      <x:c r="G46" s="11" t="str">
        <x:v>High-fidelity screens and routes exist.</x:v>
      </x:c>
      <x:c r="H46" s="11" t="str">
        <x:v>Replace static/mock behavior with real state and accessibility.</x:v>
      </x:c>
      <x:c r="I46" s="11" t="str">
        <x:v>Design system</x:v>
      </x:c>
      <x:c r="J46" s="43" t="str">
        <x:v>P1</x:v>
      </x:c>
    </x:row>
    <x:row r="47" ht="15" hidden="0" customHeight="1">
      <x:c r="A47" s="44" t="str">
        <x:v>006</x:v>
      </x:c>
      <x:c r="B47" s="11" t="str">
        <x:v>Mobile</x:v>
      </x:c>
      <x:c r="C47" s="11" t="str">
        <x:v>Reusable auction mobile components</x:v>
      </x:c>
      <x:c r="D47" s="48" t="n">
        <x:v>2</x:v>
      </x:c>
      <x:c r="E47" s="49" t="n">
        <x:v>0.8</x:v>
      </x:c>
      <x:c r="F47" s="43" t="str">
        <x:v>In progress</x:v>
      </x:c>
      <x:c r="G47" s="11" t="str">
        <x:v>Cards, chips, header, nav and slide control exist.</x:v>
      </x:c>
      <x:c r="H47" s="11" t="str">
        <x:v>Align authoritative states, RTL and semantics.</x:v>
      </x:c>
      <x:c r="I47" s="11" t="str">
        <x:v>Design system</x:v>
      </x:c>
      <x:c r="J47" s="43" t="str">
        <x:v>P1</x:v>
      </x:c>
    </x:row>
    <x:row r="48" ht="15" hidden="0" customHeight="1">
      <x:c r="A48" s="44" t="str">
        <x:v>006</x:v>
      </x:c>
      <x:c r="B48" s="11" t="str">
        <x:v>Mobile</x:v>
      </x:c>
      <x:c r="C48" s="11" t="str">
        <x:v>REST authentication, idempotency and public lot decoding</x:v>
      </x:c>
      <x:c r="D48" s="48" t="n">
        <x:v>3</x:v>
      </x:c>
      <x:c r="E48" s="49" t="n">
        <x:v>0.75</x:v>
      </x:c>
      <x:c r="F48" s="43" t="str">
        <x:v>In progress</x:v>
      </x:c>
      <x:c r="G48" s="11" t="str">
        <x:v>Alignment fix committed at ed178c3.</x:v>
      </x:c>
      <x:c r="H48" s="11" t="str">
        <x:v>Verify against live NestJS and valid seed UUIDs.</x:v>
      </x:c>
      <x:c r="I48" s="11" t="str">
        <x:v>API, session</x:v>
      </x:c>
      <x:c r="J48" s="43" t="str">
        <x:v>P0</x:v>
      </x:c>
    </x:row>
    <x:row r="49" ht="15" hidden="0" customHeight="1">
      <x:c r="A49" s="44" t="str">
        <x:v>006</x:v>
      </x:c>
      <x:c r="B49" s="11" t="str">
        <x:v>Mobile</x:v>
      </x:c>
      <x:c r="C49" s="11" t="str">
        <x:v>Contract-correct Socket.IO events and acknowledgements</x:v>
      </x:c>
      <x:c r="D49" s="48" t="n">
        <x:v>4</x:v>
      </x:c>
      <x:c r="E49" s="49" t="n">
        <x:v>0.3</x:v>
      </x:c>
      <x:c r="F49" s="43" t="str">
        <x:v>Rework in progress</x:v>
      </x:c>
      <x:c r="G49" s="11" t="str">
        <x:v>Socket rewrite is present as uncommitted work during this audit.</x:v>
      </x:c>
      <x:c r="H49" s="11" t="str">
        <x:v>Finish real event names, validation, acknowledgements and tests.</x:v>
      </x:c>
      <x:c r="I49" s="11" t="str">
        <x:v>004</x:v>
      </x:c>
      <x:c r="J49" s="43" t="str">
        <x:v>P0</x:v>
      </x:c>
    </x:row>
    <x:row r="50" ht="24" hidden="0" customHeight="1">
      <x:c r="A50" s="44" t="str">
        <x:v>006</x:v>
      </x:c>
      <x:c r="B50" s="11" t="str">
        <x:v>Mobile</x:v>
      </x:c>
      <x:c r="C50" s="11" t="str">
        <x:v>Authoritative bid state and no false success</x:v>
      </x:c>
      <x:c r="D50" s="48" t="n">
        <x:v>4</x:v>
      </x:c>
      <x:c r="E50" s="49" t="n">
        <x:v>0.15</x:v>
      </x:c>
      <x:c r="F50" s="43" t="str">
        <x:v>Rework in progress</x:v>
      </x:c>
      <x:c r="G50" s="11" t="str">
        <x:v>Critical review finding identified.</x:v>
      </x:c>
      <x:c r="H50" s="11" t="str">
        <x:v>Remove simulated acceptance; support accepted/rejected/unknown reconciliation.</x:v>
      </x:c>
      <x:c r="I50" s="11" t="str">
        <x:v>REST/socket</x:v>
      </x:c>
      <x:c r="J50" s="43" t="str">
        <x:v>P0</x:v>
      </x:c>
    </x:row>
    <x:row r="51" ht="15" hidden="0" customHeight="1">
      <x:c r="A51" s="44" t="str">
        <x:v>006</x:v>
      </x:c>
      <x:c r="B51" s="11" t="str">
        <x:v>Mobile</x:v>
      </x:c>
      <x:c r="C51" s="11" t="str">
        <x:v>Reconnect, sequence gaps, snapshots and foreground sync</x:v>
      </x:c>
      <x:c r="D51" s="48" t="n">
        <x:v>4</x:v>
      </x:c>
      <x:c r="E51" s="49" t="n">
        <x:v>0.1</x:v>
      </x:c>
      <x:c r="F51" s="43" t="str">
        <x:v>Rework in progress</x:v>
      </x:c>
      <x:c r="G51" s="11" t="str">
        <x:v>Not present in reviewed commits.</x:v>
      </x:c>
      <x:c r="H51" s="11" t="str">
        <x:v>Implement retained subscription, dedupe, gap sync and lifecycle observer.</x:v>
      </x:c>
      <x:c r="I51" s="11" t="str">
        <x:v>Socket state</x:v>
      </x:c>
      <x:c r="J51" s="43" t="str">
        <x:v>P0</x:v>
      </x:c>
    </x:row>
    <x:row r="52" ht="15" hidden="0" customHeight="1">
      <x:c r="A52" s="44" t="str">
        <x:v>006</x:v>
      </x:c>
      <x:c r="B52" s="11" t="str">
        <x:v>Mobile</x:v>
      </x:c>
      <x:c r="C52" s="11" t="str">
        <x:v>Proxy bidding, terms, eligibility and fee confirmation</x:v>
      </x:c>
      <x:c r="D52" s="48" t="n">
        <x:v>4</x:v>
      </x:c>
      <x:c r="E52" s="49" t="n">
        <x:v>0.05</x:v>
      </x:c>
      <x:c r="F52" s="43" t="str">
        <x:v>Not started</x:v>
      </x:c>
      <x:c r="G52" s="11" t="str">
        <x:v>Static visual elements only.</x:v>
      </x:c>
      <x:c r="H52" s="11" t="str">
        <x:v>Implement contract-backed proxy and pre-bid gates.</x:v>
      </x:c>
      <x:c r="I52" s="11" t="str">
        <x:v>004,008,009</x:v>
      </x:c>
      <x:c r="J52" s="43" t="str">
        <x:v>P0</x:v>
      </x:c>
    </x:row>
    <x:row r="53" ht="15" hidden="0" customHeight="1">
      <x:c r="A53" s="44" t="str">
        <x:v>006</x:v>
      </x:c>
      <x:c r="B53" s="11" t="str">
        <x:v>Mobile</x:v>
      </x:c>
      <x:c r="C53" s="11" t="str">
        <x:v>Complete English/Arabic localization and bidi safety</x:v>
      </x:c>
      <x:c r="D53" s="48" t="n">
        <x:v>3</x:v>
      </x:c>
      <x:c r="E53" s="49" t="n">
        <x:v>0.25</x:v>
      </x:c>
      <x:c r="F53" s="43" t="str">
        <x:v>Rework in progress</x:v>
      </x:c>
      <x:c r="G53" s="11" t="str">
        <x:v>Locale switch exists; most screens remain hardcoded English.</x:v>
      </x:c>
      <x:c r="H53" s="11" t="str">
        <x:v>Move every visible string and test real RTL content.</x:v>
      </x:c>
      <x:c r="I53" s="11" t="str">
        <x:v>003</x:v>
      </x:c>
      <x:c r="J53" s="43" t="str">
        <x:v>P1</x:v>
      </x:c>
    </x:row>
    <x:row r="54" ht="15" hidden="0" customHeight="1">
      <x:c r="A54" s="44" t="str">
        <x:v>006</x:v>
      </x:c>
      <x:c r="B54" s="11" t="str">
        <x:v>Mobile</x:v>
      </x:c>
      <x:c r="C54" s="11" t="str">
        <x:v>Dark mode, large text, reduced motion and screen readers</x:v>
      </x:c>
      <x:c r="D54" s="48" t="n">
        <x:v>3</x:v>
      </x:c>
      <x:c r="E54" s="49" t="n">
        <x:v>0.15</x:v>
      </x:c>
      <x:c r="F54" s="43" t="str">
        <x:v>Not started</x:v>
      </x:c>
      <x:c r="G54" s="11" t="str">
        <x:v>Some safe-area and visual component work exists.</x:v>
      </x:c>
      <x:c r="H54" s="11" t="str">
        <x:v>Implement theme mode and accessibility state matrix.</x:v>
      </x:c>
      <x:c r="I54" s="11" t="str">
        <x:v>003</x:v>
      </x:c>
      <x:c r="J54" s="43" t="str">
        <x:v>P1</x:v>
      </x:c>
    </x:row>
    <x:row r="55" ht="15" hidden="0" customHeight="1">
      <x:c r="A55" s="44" t="str">
        <x:v>006</x:v>
      </x:c>
      <x:c r="B55" s="11" t="str">
        <x:v>Mobile</x:v>
      </x:c>
      <x:c r="C55" s="11" t="str">
        <x:v>iOS project and platform validation</x:v>
      </x:c>
      <x:c r="D55" s="48" t="n">
        <x:v>2</x:v>
      </x:c>
      <x:c r="E55" s="49" t="n">
        <x:v>0</x:v>
      </x:c>
      <x:c r="F55" s="43" t="str">
        <x:v>Not started</x:v>
      </x:c>
      <x:c r="G55" s="11" t="str">
        <x:v>No iOS scaffold in reviewed implementation.</x:v>
      </x:c>
      <x:c r="H55" s="11" t="str">
        <x:v>Generate iOS platform files; validate later on macOS/Xcode.</x:v>
      </x:c>
      <x:c r="I55" s="11" t="str">
        <x:v>Apple toolchain</x:v>
      </x:c>
      <x:c r="J55" s="43" t="str">
        <x:v>P1</x:v>
      </x:c>
    </x:row>
    <x:row r="56" ht="15" hidden="0" customHeight="1">
      <x:c r="A56" s="44" t="str">
        <x:v>006</x:v>
      </x:c>
      <x:c r="B56" s="11" t="str">
        <x:v>Mobile</x:v>
      </x:c>
      <x:c r="C56" s="11" t="str">
        <x:v>Push and hosted-payment return routing stubs</x:v>
      </x:c>
      <x:c r="D56" s="48" t="n">
        <x:v>1</x:v>
      </x:c>
      <x:c r="E56" s="49" t="n">
        <x:v>0</x:v>
      </x:c>
      <x:c r="F56" s="43" t="str">
        <x:v>Not started</x:v>
      </x:c>
      <x:c r="G56" s="11" t="str">
        <x:v>No routing stubs found.</x:v>
      </x:c>
      <x:c r="H56" s="11" t="str">
        <x:v>Add Task 009/010 deep-link contracts.</x:v>
      </x:c>
      <x:c r="I56" s="11" t="str">
        <x:v>009,010</x:v>
      </x:c>
      <x:c r="J56" s="43" t="str">
        <x:v>P2</x:v>
      </x:c>
    </x:row>
    <x:row r="57" ht="15" hidden="0" customHeight="1">
      <x:c r="A57" s="44" t="str">
        <x:v>007</x:v>
      </x:c>
      <x:c r="B57" s="11" t="str">
        <x:v>Admin</x:v>
      </x:c>
      <x:c r="C57" s="11" t="str">
        <x:v>Operations dashboard and protected read models</x:v>
      </x:c>
      <x:c r="D57" s="48" t="n">
        <x:v>2</x:v>
      </x:c>
      <x:c r="E57" s="49" t="n">
        <x:v>0.9</x:v>
      </x:c>
      <x:c r="F57" s="43" t="str">
        <x:v>In progress</x:v>
      </x:c>
      <x:c r="G57" s="11" t="str">
        <x:v>Dashboard and API-backed adapter exist.</x:v>
      </x:c>
      <x:c r="H57" s="11" t="str">
        <x:v>Remove fallback ambiguity in authenticated runtime.</x:v>
      </x:c>
      <x:c r="I57" s="11" t="str">
        <x:v>API auth</x:v>
      </x:c>
      <x:c r="J57" s="43" t="str">
        <x:v>P1</x:v>
      </x:c>
    </x:row>
    <x:row r="58" ht="15" hidden="0" customHeight="1">
      <x:c r="A58" s="44" t="str">
        <x:v>007</x:v>
      </x:c>
      <x:c r="B58" s="11" t="str">
        <x:v>Admin</x:v>
      </x:c>
      <x:c r="C58" s="11" t="str">
        <x:v>Lot create/edit and increment/soft-close configuration</x:v>
      </x:c>
      <x:c r="D58" s="48" t="n">
        <x:v>3</x:v>
      </x:c>
      <x:c r="E58" s="49" t="n">
        <x:v>0.9</x:v>
      </x:c>
      <x:c r="F58" s="43" t="str">
        <x:v>In progress</x:v>
      </x:c>
      <x:c r="G58" s="11" t="str">
        <x:v>Create and safe partial edit flows exist.</x:v>
      </x:c>
      <x:c r="H58" s="11" t="str">
        <x:v>Define money/increment editing after bidding starts.</x:v>
      </x:c>
      <x:c r="I58" s="11" t="str">
        <x:v>Product decision</x:v>
      </x:c>
      <x:c r="J58" s="43" t="str">
        <x:v>P1</x:v>
      </x:c>
    </x:row>
    <x:row r="59" ht="15" hidden="0" customHeight="1">
      <x:c r="A59" s="44" t="str">
        <x:v>007</x:v>
      </x:c>
      <x:c r="B59" s="11" t="str">
        <x:v>Admin</x:v>
      </x:c>
      <x:c r="C59" s="11" t="str">
        <x:v>Auction create/edit/pause/resume/cancel</x:v>
      </x:c>
      <x:c r="D59" s="48" t="n">
        <x:v>3</x:v>
      </x:c>
      <x:c r="E59" s="49" t="n">
        <x:v>0.9</x:v>
      </x:c>
      <x:c r="F59" s="43" t="str">
        <x:v>In progress</x:v>
      </x:c>
      <x:c r="G59" s="11" t="str">
        <x:v>Commands live-verified against PostgreSQL.</x:v>
      </x:c>
      <x:c r="H59" s="11" t="str">
        <x:v>Add step-up auth and operational rehearsal.</x:v>
      </x:c>
      <x:c r="I59" s="11" t="str">
        <x:v>008</x:v>
      </x:c>
      <x:c r="J59" s="43" t="str">
        <x:v>P0</x:v>
      </x:c>
    </x:row>
    <x:row r="60" ht="15" hidden="0" customHeight="1">
      <x:c r="A60" s="44" t="str">
        <x:v>007</x:v>
      </x:c>
      <x:c r="B60" s="11" t="str">
        <x:v>Admin</x:v>
      </x:c>
      <x:c r="C60" s="11" t="str">
        <x:v>Final-bid approve/reject without hammer mutation</x:v>
      </x:c>
      <x:c r="D60" s="48" t="n">
        <x:v>3</x:v>
      </x:c>
      <x:c r="E60" s="49" t="n">
        <x:v>0.95</x:v>
      </x:c>
      <x:c r="F60" s="43" t="str">
        <x:v>In progress</x:v>
      </x:c>
      <x:c r="G60" s="11" t="str">
        <x:v>Decision paths and audit entries exist.</x:v>
      </x:c>
      <x:c r="H60" s="11" t="str">
        <x:v>Add SLA views and step-up authentication.</x:v>
      </x:c>
      <x:c r="I60" s="11" t="str">
        <x:v>008</x:v>
      </x:c>
      <x:c r="J60" s="43" t="str">
        <x:v>P0</x:v>
      </x:c>
    </x:row>
    <x:row r="61" ht="15" hidden="0" customHeight="1">
      <x:c r="A61" s="44" t="str">
        <x:v>007</x:v>
      </x:c>
      <x:c r="B61" s="11" t="str">
        <x:v>Admin</x:v>
      </x:c>
      <x:c r="C61" s="11" t="str">
        <x:v>Transactional bulk lot import</x:v>
      </x:c>
      <x:c r="D61" s="48" t="n">
        <x:v>2</x:v>
      </x:c>
      <x:c r="E61" s="49" t="n">
        <x:v>0.95</x:v>
      </x:c>
      <x:c r="F61" s="43" t="str">
        <x:v>In progress</x:v>
      </x:c>
      <x:c r="G61" s="11" t="str">
        <x:v>Dry-run, validation and atomic commit exist.</x:v>
      </x:c>
      <x:c r="H61" s="11" t="str">
        <x:v>Add file upload workflow and larger fixtures if required.</x:v>
      </x:c>
      <x:c r="I61" s="11" t="str">
        <x:v>Catalog</x:v>
      </x:c>
      <x:c r="J61" s="43" t="str">
        <x:v>P1</x:v>
      </x:c>
    </x:row>
    <x:row r="62" ht="15" hidden="0" customHeight="1">
      <x:c r="A62" s="44" t="str">
        <x:v>007</x:v>
      </x:c>
      <x:c r="B62" s="11" t="str">
        <x:v>Admin</x:v>
      </x:c>
      <x:c r="C62" s="11" t="str">
        <x:v>Immutable audit trail read experience</x:v>
      </x:c>
      <x:c r="D62" s="48" t="n">
        <x:v>2</x:v>
      </x:c>
      <x:c r="E62" s="49" t="n">
        <x:v>0.9</x:v>
      </x:c>
      <x:c r="F62" s="43" t="str">
        <x:v>In progress</x:v>
      </x:c>
      <x:c r="G62" s="11" t="str">
        <x:v>Protected audit endpoint and UI exist.</x:v>
      </x:c>
      <x:c r="H62" s="11" t="str">
        <x:v>Add filtering, retention policy and export as approved.</x:v>
      </x:c>
      <x:c r="I62" s="11" t="str">
        <x:v>Audit</x:v>
      </x:c>
      <x:c r="J62" s="43" t="str">
        <x:v>P1</x:v>
      </x:c>
    </x:row>
    <x:row r="63" ht="15" hidden="0" customHeight="1">
      <x:c r="A63" s="44" t="str">
        <x:v>007</x:v>
      </x:c>
      <x:c r="B63" s="11" t="str">
        <x:v>Admin</x:v>
      </x:c>
      <x:c r="C63" s="11" t="str">
        <x:v>Permission-aware UI</x:v>
      </x:c>
      <x:c r="D63" s="48" t="n">
        <x:v>2</x:v>
      </x:c>
      <x:c r="E63" s="49" t="n">
        <x:v>0.2</x:v>
      </x:c>
      <x:c r="F63" s="43" t="str">
        <x:v>Not started</x:v>
      </x:c>
      <x:c r="G63" s="11" t="str">
        <x:v>Server permissions exist.</x:v>
      </x:c>
      <x:c r="H63" s="11" t="str">
        <x:v>Expose safe current-session permissions and hide unauthorized actions.</x:v>
      </x:c>
      <x:c r="I63" s="11" t="str">
        <x:v>008</x:v>
      </x:c>
      <x:c r="J63" s="43" t="str">
        <x:v>P1</x:v>
      </x:c>
    </x:row>
    <x:row r="64" ht="15" hidden="0" customHeight="1">
      <x:c r="A64" s="44" t="str">
        <x:v>007</x:v>
      </x:c>
      <x:c r="B64" s="11" t="str">
        <x:v>Admin</x:v>
      </x:c>
      <x:c r="C64" s="11" t="str">
        <x:v>Step-up authentication for high-risk actions</x:v>
      </x:c>
      <x:c r="D64" s="48" t="n">
        <x:v>3</x:v>
      </x:c>
      <x:c r="E64" s="49" t="n">
        <x:v>0</x:v>
      </x:c>
      <x:c r="F64" s="43" t="str">
        <x:v>Not started</x:v>
      </x:c>
      <x:c r="G64" s="11" t="str">
        <x:v>No step-up mechanism exists.</x:v>
      </x:c>
      <x:c r="H64" s="11" t="str">
        <x:v>Implement through Task 008 and bind to approvals/finance/control actions.</x:v>
      </x:c>
      <x:c r="I64" s="11" t="str">
        <x:v>008</x:v>
      </x:c>
      <x:c r="J64" s="43" t="str">
        <x:v>P0</x:v>
      </x:c>
    </x:row>
    <x:row r="65" ht="15" hidden="0" customHeight="1">
      <x:c r="A65" s="44" t="str">
        <x:v>007</x:v>
      </x:c>
      <x:c r="B65" s="11" t="str">
        <x:v>Admin</x:v>
      </x:c>
      <x:c r="C65" s="11" t="str">
        <x:v>Realtime live auction monitor and gap recovery</x:v>
      </x:c>
      <x:c r="D65" s="48" t="n">
        <x:v>3</x:v>
      </x:c>
      <x:c r="E65" s="49" t="n">
        <x:v>0</x:v>
      </x:c>
      <x:c r="F65" s="43" t="str">
        <x:v>Not started</x:v>
      </x:c>
      <x:c r="G65" s="11" t="str">
        <x:v>No admin realtime namespace exists.</x:v>
      </x:c>
      <x:c r="H65" s="11" t="str">
        <x:v>Define and implement admin monitor contract.</x:v>
      </x:c>
      <x:c r="I65" s="11" t="str">
        <x:v>004</x:v>
      </x:c>
      <x:c r="J65" s="43" t="str">
        <x:v>P0</x:v>
      </x:c>
    </x:row>
    <x:row r="66" ht="15" hidden="0" customHeight="1">
      <x:c r="A66" s="44" t="str">
        <x:v>007</x:v>
      </x:c>
      <x:c r="B66" s="11" t="str">
        <x:v>Admin</x:v>
      </x:c>
      <x:c r="C66" s="11" t="str">
        <x:v>Offer, consignment and deposit operations queues</x:v>
      </x:c>
      <x:c r="D66" s="48" t="n">
        <x:v>3</x:v>
      </x:c>
      <x:c r="E66" s="49" t="n">
        <x:v>0.1</x:v>
      </x:c>
      <x:c r="F66" s="43" t="str">
        <x:v>Not started</x:v>
      </x:c>
      <x:c r="G66" s="11" t="str">
        <x:v>Final-bid queue exists; other domains are absent.</x:v>
      </x:c>
      <x:c r="H66" s="11" t="str">
        <x:v>Build underlying domain models/endpoints before UI.</x:v>
      </x:c>
      <x:c r="I66" s="11" t="str">
        <x:v>008,009</x:v>
      </x:c>
      <x:c r="J66" s="43" t="str">
        <x:v>P1</x:v>
      </x:c>
    </x:row>
    <x:row r="67" ht="15" hidden="0" customHeight="1">
      <x:c r="A67" s="44" t="str">
        <x:v>008</x:v>
      </x:c>
      <x:c r="B67" s="11" t="str">
        <x:v>Identity</x:v>
      </x:c>
      <x:c r="C67" s="11" t="str">
        <x:v>Account, RBAC and development session foundation</x:v>
      </x:c>
      <x:c r="D67" s="48" t="n">
        <x:v>2</x:v>
      </x:c>
      <x:c r="E67" s="49" t="n">
        <x:v>0.5</x:v>
      </x:c>
      <x:c r="F67" s="43" t="str">
        <x:v>In progress</x:v>
      </x:c>
      <x:c r="G67" s="11" t="str">
        <x:v>Basic account lookup, roles and permissions exist.</x:v>
      </x:c>
      <x:c r="H67" s="11" t="str">
        <x:v>Replace test-header runtime with production sessions.</x:v>
      </x:c>
      <x:c r="I67" s="11" t="str">
        <x:v>001,002</x:v>
      </x:c>
      <x:c r="J67" s="43" t="str">
        <x:v>P0</x:v>
      </x:c>
    </x:row>
    <x:row r="68" ht="15" hidden="0" customHeight="1">
      <x:c r="A68" s="44" t="str">
        <x:v>008</x:v>
      </x:c>
      <x:c r="B68" s="11" t="str">
        <x:v>Identity</x:v>
      </x:c>
      <x:c r="C68" s="11" t="str">
        <x:v>Short-lived access and rotating refresh sessions</x:v>
      </x:c>
      <x:c r="D68" s="48" t="n">
        <x:v>3</x:v>
      </x:c>
      <x:c r="E68" s="49" t="n">
        <x:v>0</x:v>
      </x:c>
      <x:c r="F68" s="43" t="str">
        <x:v>Not started</x:v>
      </x:c>
      <x:c r="G68" s="11" t="str">
        <x:v>No production token/session lifecycle.</x:v>
      </x:c>
      <x:c r="H68" s="11" t="str">
        <x:v>Implement rotation, revocation and replay detection.</x:v>
      </x:c>
      <x:c r="I68" s="11" t="str">
        <x:v>Security design</x:v>
      </x:c>
      <x:c r="J68" s="43" t="str">
        <x:v>P0</x:v>
      </x:c>
    </x:row>
    <x:row r="69" ht="15" hidden="0" customHeight="1">
      <x:c r="A69" s="44" t="str">
        <x:v>008</x:v>
      </x:c>
      <x:c r="B69" s="11" t="str">
        <x:v>Identity</x:v>
      </x:c>
      <x:c r="C69" s="11" t="str">
        <x:v>UAE PASS OIDC authorization code with PKCE</x:v>
      </x:c>
      <x:c r="D69" s="48" t="n">
        <x:v>4</x:v>
      </x:c>
      <x:c r="E69" s="49" t="n">
        <x:v>0</x:v>
      </x:c>
      <x:c r="F69" s="43" t="str">
        <x:v>Not started</x:v>
      </x:c>
      <x:c r="G69" s="11" t="str">
        <x:v>Provider onboarding remains external.</x:v>
      </x:c>
      <x:c r="H69" s="11" t="str">
        <x:v>Build adapter using official staging evidence.</x:v>
      </x:c>
      <x:c r="I69" s="11" t="str">
        <x:v>UAE PASS access</x:v>
      </x:c>
      <x:c r="J69" s="43" t="str">
        <x:v>P0</x:v>
      </x:c>
    </x:row>
    <x:row r="70" ht="15" hidden="0" customHeight="1">
      <x:c r="A70" s="44" t="str">
        <x:v>008</x:v>
      </x:c>
      <x:c r="B70" s="11" t="str">
        <x:v>Identity</x:v>
      </x:c>
      <x:c r="C70" s="11" t="str">
        <x:v>OTP fallback and development fake provider</x:v>
      </x:c>
      <x:c r="D70" s="48" t="n">
        <x:v>2</x:v>
      </x:c>
      <x:c r="E70" s="49" t="n">
        <x:v>0</x:v>
      </x:c>
      <x:c r="F70" s="43" t="str">
        <x:v>Not started</x:v>
      </x:c>
      <x:c r="G70" s="11" t="str">
        <x:v>No OTP provider abstraction.</x:v>
      </x:c>
      <x:c r="H70" s="11" t="str">
        <x:v>Implement provider interface, rate limits and safe fake.</x:v>
      </x:c>
      <x:c r="I70" s="11" t="str">
        <x:v>Security design</x:v>
      </x:c>
      <x:c r="J70" s="43" t="str">
        <x:v>P1</x:v>
      </x:c>
    </x:row>
    <x:row r="71" ht="15" hidden="0" customHeight="1">
      <x:c r="A71" s="44" t="str">
        <x:v>008</x:v>
      </x:c>
      <x:c r="B71" s="11" t="str">
        <x:v>Identity</x:v>
      </x:c>
      <x:c r="C71" s="11" t="str">
        <x:v>Fallback KYC state machine and webhook contract</x:v>
      </x:c>
      <x:c r="D71" s="48" t="n">
        <x:v>4</x:v>
      </x:c>
      <x:c r="E71" s="49" t="n">
        <x:v>0</x:v>
      </x:c>
      <x:c r="F71" s="43" t="str">
        <x:v>Not started</x:v>
      </x:c>
      <x:c r="G71" s="11" t="str">
        <x:v>No provider-independent KYC lifecycle.</x:v>
      </x:c>
      <x:c r="H71" s="11" t="str">
        <x:v>Implement verified state transitions and replay-safe webhook.</x:v>
      </x:c>
      <x:c r="I71" s="11" t="str">
        <x:v>Provider decision</x:v>
      </x:c>
      <x:c r="J71" s="43" t="str">
        <x:v>P0</x:v>
      </x:c>
    </x:row>
    <x:row r="72" ht="15" hidden="0" customHeight="1">
      <x:c r="A72" s="44" t="str">
        <x:v>008</x:v>
      </x:c>
      <x:c r="B72" s="11" t="str">
        <x:v>Identity</x:v>
      </x:c>
      <x:c r="C72" s="11" t="str">
        <x:v>Field classification, encryption and minimal identity mapping</x:v>
      </x:c>
      <x:c r="D72" s="48" t="n">
        <x:v>3</x:v>
      </x:c>
      <x:c r="E72" s="49" t="n">
        <x:v>0.1</x:v>
      </x:c>
      <x:c r="F72" s="43" t="str">
        <x:v>Not started</x:v>
      </x:c>
      <x:c r="G72" s="11" t="str">
        <x:v>Security rules documented only.</x:v>
      </x:c>
      <x:c r="H72" s="11" t="str">
        <x:v>Implement storage controls without raw provider payloads.</x:v>
      </x:c>
      <x:c r="I72" s="11" t="str">
        <x:v>Legal/security</x:v>
      </x:c>
      <x:c r="J72" s="43" t="str">
        <x:v>P0</x:v>
      </x:c>
    </x:row>
    <x:row r="73" ht="15" hidden="0" customHeight="1">
      <x:c r="A73" s="44" t="str">
        <x:v>008</x:v>
      </x:c>
      <x:c r="B73" s="11" t="str">
        <x:v>Identity</x:v>
      </x:c>
      <x:c r="C73" s="11" t="str">
        <x:v>Admin step-up authentication hooks</x:v>
      </x:c>
      <x:c r="D73" s="48" t="n">
        <x:v>3</x:v>
      </x:c>
      <x:c r="E73" s="49" t="n">
        <x:v>0</x:v>
      </x:c>
      <x:c r="F73" s="43" t="str">
        <x:v>Not started</x:v>
      </x:c>
      <x:c r="G73" s="11" t="str">
        <x:v>Required by Task 007 and finance actions.</x:v>
      </x:c>
      <x:c r="H73" s="11" t="str">
        <x:v>Implement challenge/evidence/audit model.</x:v>
      </x:c>
      <x:c r="I73" s="11" t="str">
        <x:v>Sessions</x:v>
      </x:c>
      <x:c r="J73" s="43" t="str">
        <x:v>P0</x:v>
      </x:c>
    </x:row>
    <x:row r="74" ht="15" hidden="0" customHeight="1">
      <x:c r="A74" s="44" t="str">
        <x:v>008</x:v>
      </x:c>
      <x:c r="B74" s="11" t="str">
        <x:v>Identity</x:v>
      </x:c>
      <x:c r="C74" s="11" t="str">
        <x:v>Identity and session security test matrix</x:v>
      </x:c>
      <x:c r="D74" s="48" t="n">
        <x:v>3</x:v>
      </x:c>
      <x:c r="E74" s="49" t="n">
        <x:v>0</x:v>
      </x:c>
      <x:c r="F74" s="43" t="str">
        <x:v>Not started</x:v>
      </x:c>
      <x:c r="G74" s="11" t="str">
        <x:v>No OIDC/session replay suite.</x:v>
      </x:c>
      <x:c r="H74" s="11" t="str">
        <x:v>Test forgery, nonce/state mismatch, revocation and outage recovery.</x:v>
      </x:c>
      <x:c r="I74" s="11" t="str">
        <x:v>All identity work</x:v>
      </x:c>
      <x:c r="J74" s="43" t="str">
        <x:v>P0</x:v>
      </x:c>
    </x:row>
    <x:row r="75" ht="15" hidden="0" customHeight="1">
      <x:c r="A75" s="44" t="str">
        <x:v>009</x:v>
      </x:c>
      <x:c r="B75" s="11" t="str">
        <x:v>Payments</x:v>
      </x:c>
      <x:c r="C75" s="11" t="str">
        <x:v>Deposit requirement policy and overrides</x:v>
      </x:c>
      <x:c r="D75" s="48" t="n">
        <x:v>2</x:v>
      </x:c>
      <x:c r="E75" s="49" t="n">
        <x:v>0.2</x:v>
      </x:c>
      <x:c r="F75" s="43" t="str">
        <x:v>Not started</x:v>
      </x:c>
      <x:c r="G75" s="11" t="str">
        <x:v>Product defaults discussed; full policy service absent.</x:v>
      </x:c>
      <x:c r="H75" s="11" t="str">
        <x:v>Implement global/category/auction/lot resolution.</x:v>
      </x:c>
      <x:c r="I75" s="11" t="str">
        <x:v>Product decision</x:v>
      </x:c>
      <x:c r="J75" s="43" t="str">
        <x:v>P1</x:v>
      </x:c>
    </x:row>
    <x:row r="76" ht="15" hidden="0" customHeight="1">
      <x:c r="A76" s="44" t="str">
        <x:v>009</x:v>
      </x:c>
      <x:c r="B76" s="11" t="str">
        <x:v>Payments</x:v>
      </x:c>
      <x:c r="C76" s="11" t="str">
        <x:v>Append-only balanced financial ledger</x:v>
      </x:c>
      <x:c r="D76" s="48" t="n">
        <x:v>4</x:v>
      </x:c>
      <x:c r="E76" s="49" t="n">
        <x:v>0.1</x:v>
      </x:c>
      <x:c r="F76" s="43" t="str">
        <x:v>Not started</x:v>
      </x:c>
      <x:c r="G76" s="11" t="str">
        <x:v>Early database/payment scaffolding only.</x:v>
      </x:c>
      <x:c r="H76" s="11" t="str">
        <x:v>Implement entries, balances and invariant tests.</x:v>
      </x:c>
      <x:c r="I76" s="11" t="str">
        <x:v>Finance approval</x:v>
      </x:c>
      <x:c r="J76" s="43" t="str">
        <x:v>P0</x:v>
      </x:c>
    </x:row>
    <x:row r="77" ht="15" hidden="0" customHeight="1">
      <x:c r="A77" s="44" t="str">
        <x:v>009</x:v>
      </x:c>
      <x:c r="B77" s="11" t="str">
        <x:v>Payments</x:v>
      </x:c>
      <x:c r="C77" s="11" t="str">
        <x:v>Dummy hosted checkout provider</x:v>
      </x:c>
      <x:c r="D77" s="48" t="n">
        <x:v>3</x:v>
      </x:c>
      <x:c r="E77" s="49" t="n">
        <x:v>0.2</x:v>
      </x:c>
      <x:c r="F77" s="43" t="str">
        <x:v>Not started</x:v>
      </x:c>
      <x:c r="G77" s="11" t="str">
        <x:v>Dummy gateway selected for development.</x:v>
      </x:c>
      <x:c r="H77" s="11" t="str">
        <x:v>Build provider adapter and deterministic success/failure scenarios.</x:v>
      </x:c>
      <x:c r="I77" s="11" t="str">
        <x:v>Ledger</x:v>
      </x:c>
      <x:c r="J77" s="43" t="str">
        <x:v>P0</x:v>
      </x:c>
    </x:row>
    <x:row r="78" ht="15" hidden="0" customHeight="1">
      <x:c r="A78" s="44" t="str">
        <x:v>009</x:v>
      </x:c>
      <x:c r="B78" s="11" t="str">
        <x:v>Payments</x:v>
      </x:c>
      <x:c r="C78" s="11" t="str">
        <x:v>Replay-safe signed webhook inbox</x:v>
      </x:c>
      <x:c r="D78" s="48" t="n">
        <x:v>4</x:v>
      </x:c>
      <x:c r="E78" s="49" t="n">
        <x:v>0</x:v>
      </x:c>
      <x:c r="F78" s="43" t="str">
        <x:v>Not started</x:v>
      </x:c>
      <x:c r="G78" s="11" t="str">
        <x:v>No production webhook state machine.</x:v>
      </x:c>
      <x:c r="H78" s="11" t="str">
        <x:v>Implement verification, dedupe, reordering and retries.</x:v>
      </x:c>
      <x:c r="I78" s="11" t="str">
        <x:v>Provider contract</x:v>
      </x:c>
      <x:c r="J78" s="43" t="str">
        <x:v>P0</x:v>
      </x:c>
    </x:row>
    <x:row r="79" ht="15" hidden="0" customHeight="1">
      <x:c r="A79" s="44" t="str">
        <x:v>009</x:v>
      </x:c>
      <x:c r="B79" s="11" t="str">
        <x:v>Payments</x:v>
      </x:c>
      <x:c r="C79" s="11" t="str">
        <x:v>Deposit eligibility updates</x:v>
      </x:c>
      <x:c r="D79" s="48" t="n">
        <x:v>3</x:v>
      </x:c>
      <x:c r="E79" s="49" t="n">
        <x:v>0.15</x:v>
      </x:c>
      <x:c r="F79" s="43" t="str">
        <x:v>Not started</x:v>
      </x:c>
      <x:c r="G79" s="11" t="str">
        <x:v>Eligibility models exist in bidding foundation.</x:v>
      </x:c>
      <x:c r="H79" s="11" t="str">
        <x:v>Update only from authoritative cleared payment state.</x:v>
      </x:c>
      <x:c r="I79" s="11" t="str">
        <x:v>Ledger,004</x:v>
      </x:c>
      <x:c r="J79" s="43" t="str">
        <x:v>P0</x:v>
      </x:c>
    </x:row>
    <x:row r="80" ht="15" hidden="0" customHeight="1">
      <x:c r="A80" s="44" t="str">
        <x:v>009</x:v>
      </x:c>
      <x:c r="B80" s="11" t="str">
        <x:v>Payments</x:v>
      </x:c>
      <x:c r="C80" s="11" t="str">
        <x:v>Refund workflow, SLA timeline and receipts</x:v>
      </x:c>
      <x:c r="D80" s="48" t="n">
        <x:v>3</x:v>
      </x:c>
      <x:c r="E80" s="49" t="n">
        <x:v>0</x:v>
      </x:c>
      <x:c r="F80" s="43" t="str">
        <x:v>Not started</x:v>
      </x:c>
      <x:c r="G80" s="11" t="str">
        <x:v>No refund lifecycle.</x:v>
      </x:c>
      <x:c r="H80" s="11" t="str">
        <x:v>Implement request, approval, processing and compensation.</x:v>
      </x:c>
      <x:c r="I80" s="11" t="str">
        <x:v>Finance rules</x:v>
      </x:c>
      <x:c r="J80" s="43" t="str">
        <x:v>P0</x:v>
      </x:c>
    </x:row>
    <x:row r="81" ht="15" hidden="0" customHeight="1">
      <x:c r="A81" s="44" t="str">
        <x:v>009</x:v>
      </x:c>
      <x:c r="B81" s="11" t="str">
        <x:v>Payments</x:v>
      </x:c>
      <x:c r="C81" s="11" t="str">
        <x:v>Daily reconciliation and exception queue</x:v>
      </x:c>
      <x:c r="D81" s="48" t="n">
        <x:v>3</x:v>
      </x:c>
      <x:c r="E81" s="49" t="n">
        <x:v>0</x:v>
      </x:c>
      <x:c r="F81" s="43" t="str">
        <x:v>Not started</x:v>
      </x:c>
      <x:c r="G81" s="11" t="str">
        <x:v>No provider reconciliation.</x:v>
      </x:c>
      <x:c r="H81" s="11" t="str">
        <x:v>Build provider-versus-ledger report and unresolved queue.</x:v>
      </x:c>
      <x:c r="I81" s="11" t="str">
        <x:v>Provider data</x:v>
      </x:c>
      <x:c r="J81" s="43" t="str">
        <x:v>P0</x:v>
      </x:c>
    </x:row>
    <x:row r="82" ht="15" hidden="0" customHeight="1">
      <x:c r="A82" s="44" t="str">
        <x:v>009</x:v>
      </x:c>
      <x:c r="B82" s="11" t="str">
        <x:v>Payments</x:v>
      </x:c>
      <x:c r="C82" s="11" t="str">
        <x:v>Web/mobile return and admin finance views</x:v>
      </x:c>
      <x:c r="D82" s="48" t="n">
        <x:v>3</x:v>
      </x:c>
      <x:c r="E82" s="49" t="n">
        <x:v>0.1</x:v>
      </x:c>
      <x:c r="F82" s="43" t="str">
        <x:v>Not started</x:v>
      </x:c>
      <x:c r="G82" s="11" t="str">
        <x:v>UI shells only.</x:v>
      </x:c>
      <x:c r="H82" s="11" t="str">
        <x:v>Connect hosted return, deposit ledger and finance actions.</x:v>
      </x:c>
      <x:c r="I82" s="11" t="str">
        <x:v>005,006,007</x:v>
      </x:c>
      <x:c r="J82" s="43" t="str">
        <x:v>P1</x:v>
      </x:c>
    </x:row>
    <x:row r="83" ht="15" hidden="0" customHeight="1">
      <x:c r="A83" s="44" t="str">
        <x:v>010</x:v>
      </x:c>
      <x:c r="B83" s="11" t="str">
        <x:v>Notifications</x:v>
      </x:c>
      <x:c r="C83" s="11" t="str">
        <x:v>Notification intent/outbox and dedupe model</x:v>
      </x:c>
      <x:c r="D83" s="48" t="n">
        <x:v>3</x:v>
      </x:c>
      <x:c r="E83" s="49" t="n">
        <x:v>0.15</x:v>
      </x:c>
      <x:c r="F83" s="43" t="str">
        <x:v>Not started</x:v>
      </x:c>
      <x:c r="G83" s="11" t="str">
        <x:v>Domain outbox foundation exists.</x:v>
      </x:c>
      <x:c r="H83" s="11" t="str">
        <x:v>Add user/channel/template dedupe and retries.</x:v>
      </x:c>
      <x:c r="I83" s="11" t="str">
        <x:v>004</x:v>
      </x:c>
      <x:c r="J83" s="43" t="str">
        <x:v>P0</x:v>
      </x:c>
    </x:row>
    <x:row r="84" ht="15" hidden="0" customHeight="1">
      <x:c r="A84" s="44" t="str">
        <x:v>010</x:v>
      </x:c>
      <x:c r="B84" s="11" t="str">
        <x:v>Notifications</x:v>
      </x:c>
      <x:c r="C84" s="11" t="str">
        <x:v>English and Arabic transactional templates</x:v>
      </x:c>
      <x:c r="D84" s="48" t="n">
        <x:v>3</x:v>
      </x:c>
      <x:c r="E84" s="49" t="n">
        <x:v>0</x:v>
      </x:c>
      <x:c r="F84" s="43" t="str">
        <x:v>Not started</x:v>
      </x:c>
      <x:c r="G84" s="11" t="str">
        <x:v>Notification matrix documented.</x:v>
      </x:c>
      <x:c r="H84" s="11" t="str">
        <x:v>Implement versioned templates and native Arabic review.</x:v>
      </x:c>
      <x:c r="I84" s="11" t="str">
        <x:v>Product copy</x:v>
      </x:c>
      <x:c r="J84" s="43" t="str">
        <x:v>P1</x:v>
      </x:c>
    </x:row>
    <x:row r="85" ht="15" hidden="0" customHeight="1">
      <x:c r="A85" s="44" t="str">
        <x:v>010</x:v>
      </x:c>
      <x:c r="B85" s="11" t="str">
        <x:v>Notifications</x:v>
      </x:c>
      <x:c r="C85" s="11" t="str">
        <x:v>FCM/APNs or OneSignal provider adapter</x:v>
      </x:c>
      <x:c r="D85" s="48" t="n">
        <x:v>3</x:v>
      </x:c>
      <x:c r="E85" s="49" t="n">
        <x:v>0</x:v>
      </x:c>
      <x:c r="F85" s="43" t="str">
        <x:v>Not started</x:v>
      </x:c>
      <x:c r="G85" s="11" t="str">
        <x:v>No push provider connected.</x:v>
      </x:c>
      <x:c r="H85" s="11" t="str">
        <x:v>Implement development sink first, then approved provider.</x:v>
      </x:c>
      <x:c r="I85" s="11" t="str">
        <x:v>Provider decision</x:v>
      </x:c>
      <x:c r="J85" s="43" t="str">
        <x:v>P1</x:v>
      </x:c>
    </x:row>
    <x:row r="86" ht="15" hidden="0" customHeight="1">
      <x:c r="A86" s="44" t="str">
        <x:v>010</x:v>
      </x:c>
      <x:c r="B86" s="11" t="str">
        <x:v>Notifications</x:v>
      </x:c>
      <x:c r="C86" s="11" t="str">
        <x:v>Email adapter and development sink</x:v>
      </x:c>
      <x:c r="D86" s="48" t="n">
        <x:v>2</x:v>
      </x:c>
      <x:c r="E86" s="49" t="n">
        <x:v>0</x:v>
      </x:c>
      <x:c r="F86" s="43" t="str">
        <x:v>Not started</x:v>
      </x:c>
      <x:c r="G86" s="11" t="str">
        <x:v>Mailpit exists locally.</x:v>
      </x:c>
      <x:c r="H86" s="11" t="str">
        <x:v>Implement templated delivery and receipts.</x:v>
      </x:c>
      <x:c r="I86" s="11" t="str">
        <x:v>001</x:v>
      </x:c>
      <x:c r="J86" s="43" t="str">
        <x:v>P2</x:v>
      </x:c>
    </x:row>
    <x:row r="87" ht="15" hidden="0" customHeight="1">
      <x:c r="A87" s="44" t="str">
        <x:v>010</x:v>
      </x:c>
      <x:c r="B87" s="11" t="str">
        <x:v>Notifications</x:v>
      </x:c>
      <x:c r="C87" s="11" t="str">
        <x:v>In-app feed and deep links</x:v>
      </x:c>
      <x:c r="D87" s="48" t="n">
        <x:v>3</x:v>
      </x:c>
      <x:c r="E87" s="49" t="n">
        <x:v>0.05</x:v>
      </x:c>
      <x:c r="F87" s="43" t="str">
        <x:v>Not started</x:v>
      </x:c>
      <x:c r="G87" s="11" t="str">
        <x:v>Event/deep-link contracts exist.</x:v>
      </x:c>
      <x:c r="H87" s="11" t="str">
        <x:v>Build grouped feed and routing across web/mobile.</x:v>
      </x:c>
      <x:c r="I87" s="11" t="str">
        <x:v>005,006</x:v>
      </x:c>
      <x:c r="J87" s="43" t="str">
        <x:v>P1</x:v>
      </x:c>
    </x:row>
    <x:row r="88" ht="15" hidden="0" customHeight="1">
      <x:c r="A88" s="44" t="str">
        <x:v>010</x:v>
      </x:c>
      <x:c r="B88" s="11" t="str">
        <x:v>Notifications</x:v>
      </x:c>
      <x:c r="C88" s="11" t="str">
        <x:v>Preferences, quiet hours and marketing separation</x:v>
      </x:c>
      <x:c r="D88" s="48" t="n">
        <x:v>3</x:v>
      </x:c>
      <x:c r="E88" s="49" t="n">
        <x:v>0</x:v>
      </x:c>
      <x:c r="F88" s="43" t="str">
        <x:v>Not started</x:v>
      </x:c>
      <x:c r="G88" s="11" t="str">
        <x:v>Policy described only.</x:v>
      </x:c>
      <x:c r="H88" s="11" t="str">
        <x:v>Implement consent-aware channel/category controls.</x:v>
      </x:c>
      <x:c r="I88" s="11" t="str">
        <x:v>Legal review</x:v>
      </x:c>
      <x:c r="J88" s="43" t="str">
        <x:v>P0</x:v>
      </x:c>
    </x:row>
    <x:row r="89" ht="15" hidden="0" customHeight="1">
      <x:c r="A89" s="44" t="str">
        <x:v>010</x:v>
      </x:c>
      <x:c r="B89" s="11" t="str">
        <x:v>Notifications</x:v>
      </x:c>
      <x:c r="C89" s="11" t="str">
        <x:v>Ending and upcoming reminder scheduler</x:v>
      </x:c>
      <x:c r="D89" s="48" t="n">
        <x:v>3</x:v>
      </x:c>
      <x:c r="E89" s="49" t="n">
        <x:v>0</x:v>
      </x:c>
      <x:c r="F89" s="43" t="str">
        <x:v>Not started</x:v>
      </x:c>
      <x:c r="G89" s="11" t="str">
        <x:v>No notification scheduler.</x:v>
      </x:c>
      <x:c r="H89" s="11" t="str">
        <x:v>Support cancellation and soft-close rescheduling.</x:v>
      </x:c>
      <x:c r="I89" s="11" t="str">
        <x:v>004</x:v>
      </x:c>
      <x:c r="J89" s="43" t="str">
        <x:v>P1</x:v>
      </x:c>
    </x:row>
    <x:row r="90" ht="15" hidden="0" customHeight="1">
      <x:c r="A90" s="44" t="str">
        <x:v>011</x:v>
      </x:c>
      <x:c r="B90" s="11" t="str">
        <x:v>Operations</x:v>
      </x:c>
      <x:c r="C90" s="11" t="str">
        <x:v>Trace HTTP, sockets, bidding, DB, outbox and providers</x:v>
      </x:c>
      <x:c r="D90" s="48" t="n">
        <x:v>3</x:v>
      </x:c>
      <x:c r="E90" s="49" t="n">
        <x:v>0.25</x:v>
      </x:c>
      <x:c r="F90" s="43" t="str">
        <x:v>Not started</x:v>
      </x:c>
      <x:c r="G90" s="11" t="str">
        <x:v>HTTP/logging/OpenTelemetry base exists.</x:v>
      </x:c>
      <x:c r="H90" s="11" t="str">
        <x:v>Add domain spans with privacy controls.</x:v>
      </x:c>
      <x:c r="I90" s="11" t="str">
        <x:v>004,008,009</x:v>
      </x:c>
      <x:c r="J90" s="43" t="str">
        <x:v>P1</x:v>
      </x:c>
    </x:row>
    <x:row r="91" ht="15" hidden="0" customHeight="1">
      <x:c r="A91" s="44" t="str">
        <x:v>011</x:v>
      </x:c>
      <x:c r="B91" s="11" t="str">
        <x:v>Operations</x:v>
      </x:c>
      <x:c r="C91" s="11" t="str">
        <x:v>Operational metrics and dashboards</x:v>
      </x:c>
      <x:c r="D91" s="48" t="n">
        <x:v>3</x:v>
      </x:c>
      <x:c r="E91" s="49" t="n">
        <x:v>0.1</x:v>
      </x:c>
      <x:c r="F91" s="43" t="str">
        <x:v>Not started</x:v>
      </x:c>
      <x:c r="G91" s="11" t="str">
        <x:v>Some structured telemetry fields exist.</x:v>
      </x:c>
      <x:c r="H91" s="11" t="str">
        <x:v>Build bid/outbox/close/payment/notification dashboards.</x:v>
      </x:c>
      <x:c r="I91" s="11" t="str">
        <x:v>Instrumentation</x:v>
      </x:c>
      <x:c r="J91" s="43" t="str">
        <x:v>P0</x:v>
      </x:c>
    </x:row>
    <x:row r="92" ht="15" hidden="0" customHeight="1">
      <x:c r="A92" s="44" t="str">
        <x:v>011</x:v>
      </x:c>
      <x:c r="B92" s="11" t="str">
        <x:v>Operations</x:v>
      </x:c>
      <x:c r="C92" s="11" t="str">
        <x:v>Alert ownership and runbook links</x:v>
      </x:c>
      <x:c r="D92" s="48" t="n">
        <x:v>2</x:v>
      </x:c>
      <x:c r="E92" s="49" t="n">
        <x:v>0</x:v>
      </x:c>
      <x:c r="F92" s="43" t="str">
        <x:v>Not started</x:v>
      </x:c>
      <x:c r="G92" s="11" t="str">
        <x:v>No production alert set.</x:v>
      </x:c>
      <x:c r="H92" s="11" t="str">
        <x:v>Define severities, owners and user impact.</x:v>
      </x:c>
      <x:c r="I92" s="11" t="str">
        <x:v>Dashboards</x:v>
      </x:c>
      <x:c r="J92" s="43" t="str">
        <x:v>P1</x:v>
      </x:c>
    </x:row>
    <x:row r="93" ht="15" hidden="0" customHeight="1">
      <x:c r="A93" s="44" t="str">
        <x:v>011</x:v>
      </x:c>
      <x:c r="B93" s="11" t="str">
        <x:v>Operations</x:v>
      </x:c>
      <x:c r="C93" s="11" t="str">
        <x:v>Reproducible concurrency/load harness</x:v>
      </x:c>
      <x:c r="D93" s="48" t="n">
        <x:v>4</x:v>
      </x:c>
      <x:c r="E93" s="49" t="n">
        <x:v>0.2</x:v>
      </x:c>
      <x:c r="F93" s="43" t="str">
        <x:v>Not started</x:v>
      </x:c>
      <x:c r="G93" s="11" t="str">
        <x:v>100-command DB race test exists.</x:v>
      </x:c>
      <x:c r="H93" s="11" t="str">
        <x:v>Model sockets, lots, proxies, bursts and reconnects.</x:v>
      </x:c>
      <x:c r="I93" s="11" t="str">
        <x:v>004</x:v>
      </x:c>
      <x:c r="J93" s="43" t="str">
        <x:v>P0</x:v>
      </x:c>
    </x:row>
    <x:row r="94" ht="15" hidden="0" customHeight="1">
      <x:c r="A94" s="44" t="str">
        <x:v>011</x:v>
      </x:c>
      <x:c r="B94" s="11" t="str">
        <x:v>Operations</x:v>
      </x:c>
      <x:c r="C94" s="11" t="str">
        <x:v>Failure injection and recovery rehearsal</x:v>
      </x:c>
      <x:c r="D94" s="48" t="n">
        <x:v>4</x:v>
      </x:c>
      <x:c r="E94" s="49" t="n">
        <x:v>0.1</x:v>
      </x:c>
      <x:c r="F94" s="43" t="str">
        <x:v>Not started</x:v>
      </x:c>
      <x:c r="G94" s="11" t="str">
        <x:v>Recovery unit foundations exist.</x:v>
      </x:c>
      <x:c r="H94" s="11" t="str">
        <x:v>Kill gateway/worker, restart Redis and inject DB/provider failures.</x:v>
      </x:c>
      <x:c r="I94" s="11" t="str">
        <x:v>004,009</x:v>
      </x:c>
      <x:c r="J94" s="43" t="str">
        <x:v>P0</x:v>
      </x:c>
    </x:row>
    <x:row r="95" ht="15" hidden="0" customHeight="1">
      <x:c r="A95" s="44" t="str">
        <x:v>011</x:v>
      </x:c>
      <x:c r="B95" s="11" t="str">
        <x:v>Operations</x:v>
      </x:c>
      <x:c r="C95" s="11" t="str">
        <x:v>Auction operations and incident runbooks</x:v>
      </x:c>
      <x:c r="D95" s="48" t="n">
        <x:v>3</x:v>
      </x:c>
      <x:c r="E95" s="49" t="n">
        <x:v>0.1</x:v>
      </x:c>
      <x:c r="F95" s="43" t="str">
        <x:v>Not started</x:v>
      </x:c>
      <x:c r="G95" s="11" t="str">
        <x:v>Runbook locations planned.</x:v>
      </x:c>
      <x:c r="H95" s="11" t="str">
        <x:v>Write and execute go/no-go, replay and communication steps.</x:v>
      </x:c>
      <x:c r="I95" s="11" t="str">
        <x:v>All services</x:v>
      </x:c>
      <x:c r="J95" s="43" t="str">
        <x:v>P0</x:v>
      </x:c>
    </x:row>
    <x:row r="96" ht="15" hidden="0" customHeight="1">
      <x:c r="A96" s="44" t="str">
        <x:v>011</x:v>
      </x:c>
      <x:c r="B96" s="11" t="str">
        <x:v>Operations</x:v>
      </x:c>
      <x:c r="C96" s="11" t="str">
        <x:v>Capacity headroom and scaling thresholds</x:v>
      </x:c>
      <x:c r="D96" s="48" t="n">
        <x:v>2</x:v>
      </x:c>
      <x:c r="E96" s="49" t="n">
        <x:v>0</x:v>
      </x:c>
      <x:c r="F96" s="43" t="str">
        <x:v>Not started</x:v>
      </x:c>
      <x:c r="G96" s="11" t="str">
        <x:v>Architecture target documented.</x:v>
      </x:c>
      <x:c r="H96" s="11" t="str">
        <x:v>Measure and define triggers for sharding/search extraction.</x:v>
      </x:c>
      <x:c r="I96" s="11" t="str">
        <x:v>Load evidence</x:v>
      </x:c>
      <x:c r="J96" s="43" t="str">
        <x:v>P1</x:v>
      </x:c>
    </x:row>
    <x:row r="97" ht="15" hidden="0" customHeight="1">
      <x:c r="A97" s="44" t="str">
        <x:v>012</x:v>
      </x:c>
      <x:c r="B97" s="11" t="str">
        <x:v>Release</x:v>
      </x:c>
      <x:c r="C97" s="11" t="str">
        <x:v>Close all critical and high defects</x:v>
      </x:c>
      <x:c r="D97" s="48" t="n">
        <x:v>4</x:v>
      </x:c>
      <x:c r="E97" s="49" t="n">
        <x:v>0</x:v>
      </x:c>
      <x:c r="F97" s="43" t="str">
        <x:v>Not started</x:v>
      </x:c>
      <x:c r="G97" s="11" t="str">
        <x:v>Task 006 currently has open critical/high findings.</x:v>
      </x:c>
      <x:c r="H97" s="11" t="str">
        <x:v>Maintain release-blocker list until zero unresolved.</x:v>
      </x:c>
      <x:c r="I97" s="11" t="str">
        <x:v>004–011</x:v>
      </x:c>
      <x:c r="J97" s="43" t="str">
        <x:v>P0</x:v>
      </x:c>
    </x:row>
    <x:row r="98" ht="15" hidden="0" customHeight="1">
      <x:c r="A98" s="44" t="str">
        <x:v>012</x:v>
      </x:c>
      <x:c r="B98" s="11" t="str">
        <x:v>Release</x:v>
      </x:c>
      <x:c r="C98" s="11" t="str">
        <x:v>Security threat model and dependency checks</x:v>
      </x:c>
      <x:c r="D98" s="48" t="n">
        <x:v>3</x:v>
      </x:c>
      <x:c r="E98" s="49" t="n">
        <x:v>0</x:v>
      </x:c>
      <x:c r="F98" s="43" t="str">
        <x:v>Not started</x:v>
      </x:c>
      <x:c r="G98" s="11" t="str">
        <x:v>Baseline scans exist only.</x:v>
      </x:c>
      <x:c r="H98" s="11" t="str">
        <x:v>Complete threat model, admin role and retention review.</x:v>
      </x:c>
      <x:c r="I98" s="11" t="str">
        <x:v>008,009</x:v>
      </x:c>
      <x:c r="J98" s="43" t="str">
        <x:v>P0</x:v>
      </x:c>
    </x:row>
    <x:row r="99" ht="15" hidden="0" customHeight="1">
      <x:c r="A99" s="44" t="str">
        <x:v>012</x:v>
      </x:c>
      <x:c r="B99" s="11" t="str">
        <x:v>Release</x:v>
      </x:c>
      <x:c r="C99" s="11" t="str">
        <x:v>English/Arabic and accessibility signoff</x:v>
      </x:c>
      <x:c r="D99" s="48" t="n">
        <x:v>3</x:v>
      </x:c>
      <x:c r="E99" s="49" t="n">
        <x:v>0</x:v>
      </x:c>
      <x:c r="F99" s="43" t="str">
        <x:v>Not started</x:v>
      </x:c>
      <x:c r="G99" s="11" t="str">
        <x:v>Foundations exist; production review absent.</x:v>
      </x:c>
      <x:c r="H99" s="11" t="str">
        <x:v>Native Arabic review and full accessibility audit.</x:v>
      </x:c>
      <x:c r="I99" s="11" t="str">
        <x:v>003,005,006,007</x:v>
      </x:c>
      <x:c r="J99" s="43" t="str">
        <x:v>P0</x:v>
      </x:c>
    </x:row>
    <x:row r="100" ht="15" hidden="0" customHeight="1">
      <x:c r="A100" s="44" t="str">
        <x:v>012</x:v>
      </x:c>
      <x:c r="B100" s="11" t="str">
        <x:v>Release</x:v>
      </x:c>
      <x:c r="C100" s="11" t="str">
        <x:v>Migration, backup, restore and deployment rehearsal</x:v>
      </x:c>
      <x:c r="D100" s="48" t="n">
        <x:v>4</x:v>
      </x:c>
      <x:c r="E100" s="49" t="n">
        <x:v>0</x:v>
      </x:c>
      <x:c r="F100" s="43" t="str">
        <x:v>Not started</x:v>
      </x:c>
      <x:c r="G100" s="11" t="str">
        <x:v>No production infrastructure rehearsal.</x:v>
      </x:c>
      <x:c r="H100" s="11" t="str">
        <x:v>Exercise migration, restore, rollback and secret rotation.</x:v>
      </x:c>
      <x:c r="I100" s="11" t="str">
        <x:v>011</x:v>
      </x:c>
      <x:c r="J100" s="43" t="str">
        <x:v>P0</x:v>
      </x:c>
    </x:row>
    <x:row r="101" ht="15" hidden="0" customHeight="1">
      <x:c r="A101" s="44" t="str">
        <x:v>012</x:v>
      </x:c>
      <x:c r="B101" s="11" t="str">
        <x:v>Release</x:v>
      </x:c>
      <x:c r="C101" s="11" t="str">
        <x:v>Internal synthetic auction</x:v>
      </x:c>
      <x:c r="D101" s="48" t="n">
        <x:v>4</x:v>
      </x:c>
      <x:c r="E101" s="49" t="n">
        <x:v>0</x:v>
      </x:c>
      <x:c r="F101" s="43" t="str">
        <x:v>Not started</x:v>
      </x:c>
      <x:c r="G101" s="11" t="str">
        <x:v>No complete integrated environment.</x:v>
      </x:c>
      <x:c r="H101" s="11" t="str">
        <x:v>Run all buyer/admin/payment/notification paths.</x:v>
      </x:c>
      <x:c r="I101" s="11" t="str">
        <x:v>004–011</x:v>
      </x:c>
      <x:c r="J101" s="43" t="str">
        <x:v>P0</x:v>
      </x:c>
    </x:row>
    <x:row r="102" ht="15" hidden="0" customHeight="1">
      <x:c r="A102" s="44" t="str">
        <x:v>012</x:v>
      </x:c>
      <x:c r="B102" s="11" t="str">
        <x:v>Release</x:v>
      </x:c>
      <x:c r="C102" s="11" t="str">
        <x:v>Invited controlled test auction and reconciliation</x:v>
      </x:c>
      <x:c r="D102" s="48" t="n">
        <x:v>5</x:v>
      </x:c>
      <x:c r="E102" s="49" t="n">
        <x:v>0</x:v>
      </x:c>
      <x:c r="F102" s="43" t="str">
        <x:v>Not started</x:v>
      </x:c>
      <x:c r="G102" s="11" t="str">
        <x:v>No test auction completed.</x:v>
      </x:c>
      <x:c r="H102" s="11" t="str">
        <x:v>Measure latency, outcomes, ledgers and incident response.</x:v>
      </x:c>
      <x:c r="I102" s="11" t="str">
        <x:v>Synthetic auction</x:v>
      </x:c>
      <x:c r="J102" s="43" t="str">
        <x:v>P0</x:v>
      </x:c>
    </x:row>
    <x:row r="103" ht="15" hidden="0" customHeight="1">
      <x:c r="A103" s="44" t="str">
        <x:v>012</x:v>
      </x:c>
      <x:c r="B103" s="11" t="str">
        <x:v>Release</x:v>
      </x:c>
      <x:c r="C103" s="11" t="str">
        <x:v>Signed go/no-go and MVP readiness evidence</x:v>
      </x:c>
      <x:c r="D103" s="48" t="n">
        <x:v>3</x:v>
      </x:c>
      <x:c r="E103" s="49" t="n">
        <x:v>0</x:v>
      </x:c>
      <x:c r="F103" s="43" t="str">
        <x:v>Not started</x:v>
      </x:c>
      <x:c r="G103" s="11" t="str">
        <x:v>Release evidence document absent.</x:v>
      </x:c>
      <x:c r="H103" s="11" t="str">
        <x:v>Collect legal, finance, security, Arabic and owner signoffs.</x:v>
      </x:c>
      <x:c r="I103" s="11" t="str">
        <x:v>All gates</x:v>
      </x:c>
      <x:c r="J103" s="43" t="str">
        <x:v>P0</x:v>
      </x:c>
    </x:row>
  </x:sheetData>
  <x:conditionalFormatting sqref="F6:F103">
    <x:cfRule type="containsText" dxfId="4" priority="1" operator="containsText" text="Complete"/>
    <x:cfRule type="containsText" dxfId="5" priority="2" operator="containsText" text="In progress"/>
    <x:cfRule type="containsText" dxfId="6" priority="3" operator="containsText" text="Rework"/>
    <x:cfRule type="containsText" dxfId="7" priority="4" operator="containsText" text="Not started"/>
  </x:conditionalFormatting>
  <x:conditionalFormatting sqref="J6:J103">
    <x:cfRule type="containsText" dxfId="8" priority="5" operator="containsText" text="P0"/>
    <x:cfRule type="containsText" dxfId="9" priority="6" operator="containsText" text="P1"/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0" hidden="0" customWidth="1"/>
    <x:col min="2" max="2" width="24" hidden="0" customWidth="1"/>
    <x:col min="3" max="3" width="38" hidden="0" customWidth="1"/>
    <x:col min="4" max="4" width="32" hidden="0" customWidth="1"/>
    <x:col min="5" max="5" width="22" hidden="0" customWidth="1"/>
    <x:col min="6" max="6" width="45" hidden="0" customWidth="1"/>
    <x:col min="7" max="7" width="62" hidden="0" customWidth="1"/>
  </x:cols>
  <x:sheetData>
    <x:row r="1">
      <x:c r="A1" s="1" t="str">
        <x:v>Technology stack</x:v>
      </x:c>
    </x:row>
    <x:row r="2">
      <x:c r="A2" s="2" t="str">
        <x:v>Current repository technologies and planned production integrations. Versions reflect the audited workspace on 2026-09-14.</x:v>
      </x:c>
    </x:row>
    <x:row r="5" ht="32" customHeight="1">
      <x:c r="A5" s="35" t="str">
        <x:v>Layer</x:v>
      </x:c>
      <x:c r="B5" s="36" t="str">
        <x:v>Capability</x:v>
      </x:c>
      <x:c r="C5" s="36" t="str">
        <x:v>Technology</x:v>
      </x:c>
      <x:c r="D5" s="36" t="str">
        <x:v>Version / choice</x:v>
      </x:c>
      <x:c r="E5" s="36" t="str">
        <x:v>Status</x:v>
      </x:c>
      <x:c r="F5" s="36" t="str">
        <x:v>Purpose</x:v>
      </x:c>
      <x:c r="G5" s="37" t="str">
        <x:v>Notes / remaining work</x:v>
      </x:c>
    </x:row>
    <x:row r="6" ht="15" hidden="0" customHeight="1">
      <x:c r="A6" s="11" t="str">
        <x:v>Repository</x:v>
      </x:c>
      <x:c r="B6" s="11" t="str">
        <x:v>Monorepo</x:v>
      </x:c>
      <x:c r="C6" s="11" t="str">
        <x:v>pnpm workspaces + Turborepo</x:v>
      </x:c>
      <x:c r="D6" s="11" t="str">
        <x:v>pnpm 11.4.0; Turbo 2.10.5</x:v>
      </x:c>
      <x:c r="E6" s="11" t="str">
        <x:v>Installed</x:v>
      </x:c>
      <x:c r="F6" s="11" t="str">
        <x:v>Shared builds, tests and packages</x:v>
      </x:c>
      <x:c r="G6" s="11" t="str">
        <x:v>Keep Flutter checks explicitly integrated with CI</x:v>
      </x:c>
    </x:row>
    <x:row r="7" ht="15" hidden="0" customHeight="1">
      <x:c r="A7" s="11" t="str">
        <x:v>Runtime</x:v>
      </x:c>
      <x:c r="B7" s="11" t="str">
        <x:v>Node.js</x:v>
      </x:c>
      <x:c r="C7" s="11" t="str">
        <x:v>Node.js LTS</x:v>
      </x:c>
      <x:c r="D7" s="11" t="str">
        <x:v>24.18.x</x:v>
      </x:c>
      <x:c r="E7" s="11" t="str">
        <x:v>Installed</x:v>
      </x:c>
      <x:c r="F7" s="11" t="str">
        <x:v>API, web, admin and build tooling</x:v>
      </x:c>
      <x:c r="G7" s="11" t="str">
        <x:v>Pinned to &gt;=24.18 &lt;25</x:v>
      </x:c>
    </x:row>
    <x:row r="8" ht="15" hidden="0" customHeight="1">
      <x:c r="A8" s="11" t="str">
        <x:v>Mobile</x:v>
      </x:c>
      <x:c r="B8" s="11" t="str">
        <x:v>Framework</x:v>
      </x:c>
      <x:c r="C8" s="11" t="str">
        <x:v>Flutter / Dart</x:v>
      </x:c>
      <x:c r="D8" s="11" t="str">
        <x:v>Flutter 3.47.3; Dart 3.13.3</x:v>
      </x:c>
      <x:c r="E8" s="11" t="str">
        <x:v>In progress</x:v>
      </x:c>
      <x:c r="F8" s="11" t="str">
        <x:v>Android and iOS buyer application</x:v>
      </x:c>
      <x:c r="G8" s="11" t="str">
        <x:v>Android exists; iOS and complete live behavior remain</x:v>
      </x:c>
    </x:row>
    <x:row r="9" ht="15" hidden="0" customHeight="1">
      <x:c r="A9" s="11" t="str">
        <x:v>Mobile</x:v>
      </x:c>
      <x:c r="B9" s="11" t="str">
        <x:v>Navigation</x:v>
      </x:c>
      <x:c r="C9" s="11" t="str">
        <x:v>go_router</x:v>
      </x:c>
      <x:c r="D9" s="11" t="str">
        <x:v>18.0.1</x:v>
      </x:c>
      <x:c r="E9" s="11" t="str">
        <x:v>Installed</x:v>
      </x:c>
      <x:c r="F9" s="11" t="str">
        <x:v>Deep-linkable application routing</x:v>
      </x:c>
      <x:c r="G9" s="11" t="str">
        <x:v>Push/payment return stubs remain</x:v>
      </x:c>
    </x:row>
    <x:row r="10" ht="15" hidden="0" customHeight="1">
      <x:c r="A10" s="11" t="str">
        <x:v>Mobile</x:v>
      </x:c>
      <x:c r="B10" s="11" t="str">
        <x:v>Networking</x:v>
      </x:c>
      <x:c r="C10" s="11" t="str">
        <x:v>http + socket_io_client</x:v>
      </x:c>
      <x:c r="D10" s="11" t="str">
        <x:v>http 1.2.1; Socket.IO client 3.0.1</x:v>
      </x:c>
      <x:c r="E10" s="11" t="str">
        <x:v>Rework in progress</x:v>
      </x:c>
      <x:c r="F10" s="11" t="str">
        <x:v>REST and realtime bidding</x:v>
      </x:c>
      <x:c r="G10" s="11" t="str">
        <x:v>Contract alignment under active repair</x:v>
      </x:c>
    </x:row>
    <x:row r="11" ht="15" hidden="0" customHeight="1">
      <x:c r="A11" s="11" t="str">
        <x:v>Mobile</x:v>
      </x:c>
      <x:c r="B11" s="11" t="str">
        <x:v>Localization</x:v>
      </x:c>
      <x:c r="C11" s="11" t="str">
        <x:v>Flutter localizations + intl</x:v>
      </x:c>
      <x:c r="D11" s="11" t="str">
        <x:v>intl 0.20.3</x:v>
      </x:c>
      <x:c r="E11" s="11" t="str">
        <x:v>Partial</x:v>
      </x:c>
      <x:c r="F11" s="11" t="str">
        <x:v>English/Arabic and RTL</x:v>
      </x:c>
      <x:c r="G11" s="11" t="str">
        <x:v>Most visible strings still require localization</x:v>
      </x:c>
    </x:row>
    <x:row r="12" ht="15" hidden="0" customHeight="1">
      <x:c r="A12" s="11" t="str">
        <x:v>Buyer web</x:v>
      </x:c>
      <x:c r="B12" s="11" t="str">
        <x:v>Framework</x:v>
      </x:c>
      <x:c r="C12" s="11" t="str">
        <x:v>Next.js / React / TypeScript</x:v>
      </x:c>
      <x:c r="D12" s="11" t="str">
        <x:v>Next 16.2.10; React 19.2.7; TS 5.9.3</x:v>
      </x:c>
      <x:c r="E12" s="11" t="str">
        <x:v>In progress</x:v>
      </x:c>
      <x:c r="F12" s="11" t="str">
        <x:v>SSR lot discovery and full bidding client</x:v>
      </x:c>
      <x:c r="G12" s="11" t="str">
        <x:v>Cloudflare preview deployed</x:v>
      </x:c>
    </x:row>
    <x:row r="13" ht="15" hidden="0" customHeight="1">
      <x:c r="A13" s="11" t="str">
        <x:v>Admin</x:v>
      </x:c>
      <x:c r="B13" s="11" t="str">
        <x:v>Framework</x:v>
      </x:c>
      <x:c r="C13" s="11" t="str">
        <x:v>Next.js / React / TypeScript</x:v>
      </x:c>
      <x:c r="D13" s="11" t="str">
        <x:v>Next 16.2.10; React 19.2.7; TS 5.9.3</x:v>
      </x:c>
      <x:c r="E13" s="11" t="str">
        <x:v>In progress</x:v>
      </x:c>
      <x:c r="F13" s="11" t="str">
        <x:v>Protected auction operations console</x:v>
      </x:c>
      <x:c r="G13" s="11" t="str">
        <x:v>Cloudflare preview deployed</x:v>
      </x:c>
    </x:row>
    <x:row r="14" ht="15" hidden="0" customHeight="1">
      <x:c r="A14" s="11" t="str">
        <x:v>Backend</x:v>
      </x:c>
      <x:c r="B14" s="11" t="str">
        <x:v>Framework</x:v>
      </x:c>
      <x:c r="C14" s="11" t="str">
        <x:v>NestJS / Express</x:v>
      </x:c>
      <x:c r="D14" s="11" t="str">
        <x:v>NestJS 11.1.28; Express 5.2.1</x:v>
      </x:c>
      <x:c r="E14" s="11" t="str">
        <x:v>In progress</x:v>
      </x:c>
      <x:c r="F14" s="11" t="str">
        <x:v>Modular API and Socket.IO gateway</x:v>
      </x:c>
      <x:c r="G14" s="11" t="str">
        <x:v>Modular monolith</x:v>
      </x:c>
    </x:row>
    <x:row r="15" ht="15" hidden="0" customHeight="1">
      <x:c r="A15" s="11" t="str">
        <x:v>Backend</x:v>
      </x:c>
      <x:c r="B15" s="11" t="str">
        <x:v>Realtime</x:v>
      </x:c>
      <x:c r="C15" s="11" t="str">
        <x:v>Socket.IO</x:v>
      </x:c>
      <x:c r="D15" s="11" t="str">
        <x:v>4.8.1</x:v>
      </x:c>
      <x:c r="E15" s="11" t="str">
        <x:v>In progress</x:v>
      </x:c>
      <x:c r="F15" s="11" t="str">
        <x:v>Commands, acknowledgements and room fanout</x:v>
      </x:c>
      <x:c r="G15" s="11" t="str">
        <x:v>Namespace /auctions/v1</x:v>
      </x:c>
    </x:row>
    <x:row r="16" ht="15" hidden="0" customHeight="1">
      <x:c r="A16" s="11" t="str">
        <x:v>Backend</x:v>
      </x:c>
      <x:c r="B16" s="11" t="str">
        <x:v>Validation/contracts</x:v>
      </x:c>
      <x:c r="C16" s="11" t="str">
        <x:v>Zod</x:v>
      </x:c>
      <x:c r="D16" s="11" t="str">
        <x:v>4.4.3</x:v>
      </x:c>
      <x:c r="E16" s="11" t="str">
        <x:v>Complete foundation</x:v>
      </x:c>
      <x:c r="F16" s="11" t="str">
        <x:v>Runtime schemas and transport validation</x:v>
      </x:c>
      <x:c r="G16" s="11" t="str">
        <x:v>Source for generated schemas</x:v>
      </x:c>
    </x:row>
    <x:row r="17" ht="15" hidden="0" customHeight="1">
      <x:c r="A17" s="11" t="str">
        <x:v>Data</x:v>
      </x:c>
      <x:c r="B17" s="11" t="str">
        <x:v>Durable database</x:v>
      </x:c>
      <x:c r="C17" s="11" t="str">
        <x:v>PostgreSQL</x:v>
      </x:c>
      <x:c r="D17" s="11" t="str">
        <x:v>Local Compose 17; pg 8.22.0</x:v>
      </x:c>
      <x:c r="E17" s="11" t="str">
        <x:v>In progress</x:v>
      </x:c>
      <x:c r="F17" s="11" t="str">
        <x:v>Auction, bid, identity and financial ledgers</x:v>
      </x:c>
      <x:c r="G17" s="11" t="str">
        <x:v>Authoritative durable state</x:v>
      </x:c>
    </x:row>
    <x:row r="18" ht="15" hidden="0" customHeight="1">
      <x:c r="A18" s="11" t="str">
        <x:v>Data</x:v>
      </x:c>
      <x:c r="B18" s="11" t="str">
        <x:v>Realtime cache</x:v>
      </x:c>
      <x:c r="C18" s="11" t="str">
        <x:v>Redis</x:v>
      </x:c>
      <x:c r="D18" s="11" t="str">
        <x:v>Local Compose 8; client 6.1.0</x:v>
      </x:c>
      <x:c r="E18" s="11" t="str">
        <x:v>Partial</x:v>
      </x:c>
      <x:c r="F18" s="11" t="str">
        <x:v>Derived live state, coordination and fanout</x:v>
      </x:c>
      <x:c r="G18" s="11" t="str">
        <x:v>Must remain recoverable from PostgreSQL</x:v>
      </x:c>
    </x:row>
    <x:row r="19" ht="15" hidden="0" customHeight="1">
      <x:c r="A19" s="11" t="str">
        <x:v>Data</x:v>
      </x:c>
      <x:c r="B19" s="11" t="str">
        <x:v>Object storage</x:v>
      </x:c>
      <x:c r="C19" s="11" t="str">
        <x:v>MinIO locally; AWS S3 planned</x:v>
      </x:c>
      <x:c r="D19" s="11" t="str">
        <x:v>MinIO 2025-09-06</x:v>
      </x:c>
      <x:c r="E19" s="11" t="str">
        <x:v>Foundation</x:v>
      </x:c>
      <x:c r="F19" s="11" t="str">
        <x:v>Images, videos and documents</x:v>
      </x:c>
      <x:c r="G19" s="11" t="str">
        <x:v>Production malware scanning/presigned flows remain</x:v>
      </x:c>
    </x:row>
    <x:row r="20" ht="15" hidden="0" customHeight="1">
      <x:c r="A20" s="11" t="str">
        <x:v>Search</x:v>
      </x:c>
      <x:c r="B20" s="11" t="str">
        <x:v>Search engine</x:v>
      </x:c>
      <x:c r="C20" s="11" t="str">
        <x:v>PostgreSQL initially; OpenSearch planned</x:v>
      </x:c>
      <x:c r="D20" s="11" t="str">
        <x:v>Not provisioned</x:v>
      </x:c>
      <x:c r="E20" s="11" t="str">
        <x:v>Planned</x:v>
      </x:c>
      <x:c r="F20" s="11" t="str">
        <x:v>Full-text and faceted lot discovery</x:v>
      </x:c>
      <x:c r="G20" s="11" t="str">
        <x:v>Add only when MVP scale requires it</x:v>
      </x:c>
    </x:row>
    <x:row r="21" ht="15" hidden="0" customHeight="1">
      <x:c r="A21" s="11" t="str">
        <x:v>Contracts</x:v>
      </x:c>
      <x:c r="B21" s="11" t="str">
        <x:v>Shared transport</x:v>
      </x:c>
      <x:c r="C21" s="11" t="str">
        <x:v>@pioneer/contracts</x:v>
      </x:c>
      <x:c r="D21" s="11" t="str">
        <x:v>Contract v1</x:v>
      </x:c>
      <x:c r="E21" s="11" t="str">
        <x:v>Complete foundation</x:v>
      </x:c>
      <x:c r="F21" s="11" t="str">
        <x:v>TypeScript, OpenAPI, JSON Schema and Dart models</x:v>
      </x:c>
      <x:c r="G21" s="11" t="str">
        <x:v>Compiled ESM dist required before standalone Next builds</x:v>
      </x:c>
    </x:row>
    <x:row r="22" ht="15" hidden="0" customHeight="1">
      <x:c r="A22" s="11" t="str">
        <x:v>Design</x:v>
      </x:c>
      <x:c r="B22" s="11" t="str">
        <x:v>Tokens and fonts</x:v>
      </x:c>
      <x:c r="C22" s="11" t="str">
        <x:v>Shared tokens; Inter; Tajawal</x:v>
      </x:c>
      <x:c r="D22" s="11" t="str">
        <x:v>Inter 5.2.8; Tajawal 5.2.7 on web</x:v>
      </x:c>
      <x:c r="E22" s="11" t="str">
        <x:v>Complete foundation</x:v>
      </x:c>
      <x:c r="F22" s="11" t="str">
        <x:v>Brand, semantic states and RTL typography</x:v>
      </x:c>
      <x:c r="G22" s="11" t="str">
        <x:v>Native Arabic review remains</x:v>
      </x:c>
    </x:row>
    <x:row r="23" ht="15" hidden="0" customHeight="1">
      <x:c r="A23" s="11" t="str">
        <x:v>Testing</x:v>
      </x:c>
      <x:c r="B23" s="11" t="str">
        <x:v>TypeScript</x:v>
      </x:c>
      <x:c r="C23" s="11" t="str">
        <x:v>Vitest</x:v>
      </x:c>
      <x:c r="D23" s="11" t="str">
        <x:v>4.1.10</x:v>
      </x:c>
      <x:c r="E23" s="11" t="str">
        <x:v>Active</x:v>
      </x:c>
      <x:c r="F23" s="11" t="str">
        <x:v>Unit, contract, DB integration and race tests</x:v>
      </x:c>
      <x:c r="G23" s="11" t="str">
        <x:v>Playwright journeys remain absent</x:v>
      </x:c>
    </x:row>
    <x:row r="24" ht="15" hidden="0" customHeight="1">
      <x:c r="A24" s="11" t="str">
        <x:v>Testing</x:v>
      </x:c>
      <x:c r="B24" s="11" t="str">
        <x:v>Flutter</x:v>
      </x:c>
      <x:c r="C24" s="11" t="str">
        <x:v>flutter_test</x:v>
      </x:c>
      <x:c r="D24" s="11" t="str">
        <x:v>Flutter SDK</x:v>
      </x:c>
      <x:c r="E24" s="11" t="str">
        <x:v>Active</x:v>
      </x:c>
      <x:c r="F24" s="11" t="str">
        <x:v>Widget and unit tests</x:v>
      </x:c>
      <x:c r="G24" s="11" t="str">
        <x:v>Real gateway trace and iOS validation remain</x:v>
      </x:c>
    </x:row>
    <x:row r="25" ht="15" hidden="0" customHeight="1">
      <x:c r="A25" s="11" t="str">
        <x:v>Observability</x:v>
      </x:c>
      <x:c r="B25" s="11" t="str">
        <x:v>Telemetry</x:v>
      </x:c>
      <x:c r="C25" s="11" t="str">
        <x:v>OpenTelemetry + Pino</x:v>
      </x:c>
      <x:c r="D25" s="11" t="str">
        <x:v>OTel API 1.9.1; Pino 10.3.1</x:v>
      </x:c>
      <x:c r="E25" s="11" t="str">
        <x:v>Foundation</x:v>
      </x:c>
      <x:c r="F25" s="11" t="str">
        <x:v>Logs, traces and correlation IDs</x:v>
      </x:c>
      <x:c r="G25" s="11" t="str">
        <x:v>Dashboards, alerts and load evidence remain</x:v>
      </x:c>
    </x:row>
    <x:row r="26" ht="15" hidden="0" customHeight="1">
      <x:c r="A26" s="11" t="str">
        <x:v>Local development</x:v>
      </x:c>
      <x:c r="B26" s="11" t="str">
        <x:v>Email sink</x:v>
      </x:c>
      <x:c r="C26" s="11" t="str">
        <x:v>Mailpit</x:v>
      </x:c>
      <x:c r="D26" s="11" t="str">
        <x:v>1.30.4</x:v>
      </x:c>
      <x:c r="E26" s="11" t="str">
        <x:v>Installed</x:v>
      </x:c>
      <x:c r="F26" s="11" t="str">
        <x:v>Development email capture</x:v>
      </x:c>
      <x:c r="G26" s="11" t="str">
        <x:v>Notification adapter remains</x:v>
      </x:c>
    </x:row>
    <x:row r="27" ht="15" hidden="0" customHeight="1">
      <x:c r="A27" s="11" t="str">
        <x:v>Deployment</x:v>
      </x:c>
      <x:c r="B27" s="11" t="str">
        <x:v>Preview hosting</x:v>
      </x:c>
      <x:c r="C27" s="11" t="str">
        <x:v>Cloudflare Workers</x:v>
      </x:c>
      <x:c r="D27" s="11" t="str">
        <x:v>Wrangler 4.120.1</x:v>
      </x:c>
      <x:c r="E27" s="11" t="str">
        <x:v>Active preview</x:v>
      </x:c>
      <x:c r="F27" s="11" t="str">
        <x:v>Buyer web, admin and preview API</x:v>
      </x:c>
      <x:c r="G27" s="11" t="str">
        <x:v>Not the planned production backend</x:v>
      </x:c>
    </x:row>
    <x:row r="28" ht="24" hidden="0" customHeight="1">
      <x:c r="A28" s="11" t="str">
        <x:v>Deployment</x:v>
      </x:c>
      <x:c r="B28" s="11" t="str">
        <x:v>Production target</x:v>
      </x:c>
      <x:c r="C28" s="11" t="str">
        <x:v>AWS ECS/Fargate, RDS, ElastiCache, S3, CloudFront/WAF</x:v>
      </x:c>
      <x:c r="D28" s="11" t="str">
        <x:v>Not provisioned</x:v>
      </x:c>
      <x:c r="E28" s="11" t="str">
        <x:v>Planned</x:v>
      </x:c>
      <x:c r="F28" s="11" t="str">
        <x:v>Regional production platform</x:v>
      </x:c>
      <x:c r="G28" s="11" t="str">
        <x:v>Infrastructure as code remains</x:v>
      </x:c>
    </x:row>
    <x:row r="29" ht="15" hidden="0" customHeight="1">
      <x:c r="A29" s="11" t="str">
        <x:v>Identity</x:v>
      </x:c>
      <x:c r="B29" s="11" t="str">
        <x:v>Primary provider</x:v>
      </x:c>
      <x:c r="C29" s="11" t="str">
        <x:v>UAE PASS OIDC/PKCE</x:v>
      </x:c>
      <x:c r="D29" s="11" t="str">
        <x:v>Not integrated</x:v>
      </x:c>
      <x:c r="E29" s="11" t="str">
        <x:v>Planned</x:v>
      </x:c>
      <x:c r="F29" s="11" t="str">
        <x:v>Verified UAE onboarding and identity</x:v>
      </x:c>
      <x:c r="G29" s="11" t="str">
        <x:v>Staging/commercial onboarding required</x:v>
      </x:c>
    </x:row>
    <x:row r="30" ht="15" hidden="0" customHeight="1">
      <x:c r="A30" s="11" t="str">
        <x:v>Identity</x:v>
      </x:c>
      <x:c r="B30" s="11" t="str">
        <x:v>Fallback KYC</x:v>
      </x:c>
      <x:c r="C30" s="11" t="str">
        <x:v>Provider abstraction; vendor TBD</x:v>
      </x:c>
      <x:c r="D30" s="11" t="str">
        <x:v>Not integrated</x:v>
      </x:c>
      <x:c r="E30" s="11" t="str">
        <x:v>Planned</x:v>
      </x:c>
      <x:c r="F30" s="11" t="str">
        <x:v>Non-UAE-PASS bidder verification</x:v>
      </x:c>
      <x:c r="G30" s="11" t="str">
        <x:v>Do not hardcode provider behavior</x:v>
      </x:c>
    </x:row>
    <x:row r="31" ht="15" hidden="0" customHeight="1">
      <x:c r="A31" s="11" t="str">
        <x:v>Payments</x:v>
      </x:c>
      <x:c r="B31" s="11" t="str">
        <x:v>Development gateway</x:v>
      </x:c>
      <x:c r="C31" s="11" t="str">
        <x:v>Dummy provider</x:v>
      </x:c>
      <x:c r="D31" s="11" t="str">
        <x:v>Not implemented</x:v>
      </x:c>
      <x:c r="E31" s="11" t="str">
        <x:v>Planned next</x:v>
      </x:c>
      <x:c r="F31" s="11" t="str">
        <x:v>Deterministic testing without real charges</x:v>
      </x:c>
      <x:c r="G31" s="11" t="str">
        <x:v>Must still use replay-safe ledger/webhooks</x:v>
      </x:c>
    </x:row>
    <x:row r="32" ht="24" hidden="0" customHeight="1">
      <x:c r="A32" s="11" t="str">
        <x:v>Payments</x:v>
      </x:c>
      <x:c r="B32" s="11" t="str">
        <x:v>Production gateway</x:v>
      </x:c>
      <x:c r="C32" s="11" t="str">
        <x:v>Network International N-Genius primary; Telr/Checkout.com fallback</x:v>
      </x:c>
      <x:c r="D32" s="11" t="str">
        <x:v>Not integrated</x:v>
      </x:c>
      <x:c r="E32" s="11" t="str">
        <x:v>Planned</x:v>
      </x:c>
      <x:c r="F32" s="11" t="str">
        <x:v>AED deposits and purchase payments</x:v>
      </x:c>
      <x:c r="G32" s="11" t="str">
        <x:v>Commercial approval required</x:v>
      </x:c>
    </x:row>
    <x:row r="33" ht="15" hidden="0" customHeight="1">
      <x:c r="A33" s="11" t="str">
        <x:v>Notifications</x:v>
      </x:c>
      <x:c r="B33" s="11" t="str">
        <x:v>Push</x:v>
      </x:c>
      <x:c r="C33" s="11" t="str">
        <x:v>FCM/APNs, possibly OneSignal orchestration</x:v>
      </x:c>
      <x:c r="D33" s="11" t="str">
        <x:v>Not integrated</x:v>
      </x:c>
      <x:c r="E33" s="11" t="str">
        <x:v>Planned</x:v>
      </x:c>
      <x:c r="F33" s="11" t="str">
        <x:v>Transactional push and campaigns</x:v>
      </x:c>
      <x:c r="G33" s="11" t="str">
        <x:v>Provider decision and consent rules remain</x:v>
      </x:c>
    </x:row>
  </x:sheetData>
  <x:conditionalFormatting sqref="E6:E33">
    <x:cfRule type="containsText" dxfId="10" priority="1" operator="containsText" text="Complete"/>
    <x:cfRule type="containsText" dxfId="11" priority="2" operator="containsText" text="In progress"/>
    <x:cfRule type="containsText" dxfId="12" priority="3" operator="containsText" text="Rework"/>
    <x:cfRule type="containsText" dxfId="13" priority="4" operator="containsText" text="Not started"/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1" hidden="0" customWidth="1"/>
    <x:col min="2" max="2" width="34" hidden="0" customWidth="1"/>
    <x:col min="3" max="3" width="24" hidden="0" customWidth="1"/>
    <x:col min="4" max="4" width="68" hidden="0" customWidth="1"/>
    <x:col min="5" max="5" width="58" hidden="0" customWidth="1"/>
    <x:col min="6" max="6" width="28" hidden="0" customWidth="1"/>
    <x:col min="7" max="7" width="10" hidden="0" customWidth="1"/>
  </x:cols>
  <x:sheetData>
    <x:row r="1">
      <x:c r="A1" s="1" t="str">
        <x:v>MVP execution roadmap</x:v>
      </x:c>
    </x:row>
    <x:row r="2">
      <x:c r="A2" s="2" t="str">
        <x:v>Sequenced from the current mobile repair through a controlled test auction. Dates depend on external provider approvals and review capacity.</x:v>
      </x:c>
    </x:row>
    <x:row r="5" ht="32" customHeight="1">
      <x:c r="A5" s="35" t="str">
        <x:v>Sequence</x:v>
      </x:c>
      <x:c r="B5" s="36" t="str">
        <x:v>Milestone</x:v>
      </x:c>
      <x:c r="C5" s="36" t="str">
        <x:v>Timing</x:v>
      </x:c>
      <x:c r="D5" s="36" t="str">
        <x:v>Scope</x:v>
      </x:c>
      <x:c r="E5" s="36" t="str">
        <x:v>Exit criterion</x:v>
      </x:c>
      <x:c r="F5" s="36" t="str">
        <x:v>Owner</x:v>
      </x:c>
      <x:c r="G5" s="37" t="str">
        <x:v>Priority</x:v>
      </x:c>
    </x:row>
    <x:row r="6" ht="24" hidden="0" customHeight="1">
      <x:c r="A6" s="43" t="n">
        <x:v>1</x:v>
      </x:c>
      <x:c r="B6" s="11" t="str">
        <x:v>Stabilize current mobile branch</x:v>
      </x:c>
      <x:c r="C6" s="11" t="str">
        <x:v>Now</x:v>
      </x:c>
      <x:c r="D6" s="11" t="str">
        <x:v>Fix Task 006 review findings, finish realtime recovery, remove false bid success and commit cleanly.</x:v>
      </x:c>
      <x:c r="E6" s="11" t="str">
        <x:v>All critical/high mobile findings closed; live contract trace passes.</x:v>
      </x:c>
      <x:c r="F6" s="11" t="str">
        <x:v>Antigravity</x:v>
      </x:c>
      <x:c r="G6" s="43" t="str">
        <x:v>P0</x:v>
      </x:c>
    </x:row>
    <x:row r="7" ht="24" hidden="0" customHeight="1">
      <x:c r="A7" s="43" t="n">
        <x:v>2</x:v>
      </x:c>
      <x:c r="B7" s="11" t="str">
        <x:v>Accept bidding engine</x:v>
      </x:c>
      <x:c r="C7" s="11" t="str">
        <x:v>Next</x:v>
      </x:c>
      <x:c r="D7" s="11" t="str">
        <x:v>Finish Redis recovery connection, kill-point proof, multi-instance behavior and correctness handoff.</x:v>
      </x:c>
      <x:c r="E7" s="11" t="str">
        <x:v>Task 004 acceptance criteria pass with archived evidence.</x:v>
      </x:c>
      <x:c r="F7" s="11" t="str">
        <x:v>Backend owner</x:v>
      </x:c>
      <x:c r="G7" s="43" t="str">
        <x:v>P0</x:v>
      </x:c>
    </x:row>
    <x:row r="8" ht="24" hidden="0" customHeight="1">
      <x:c r="A8" s="43" t="n">
        <x:v>3</x:v>
      </x:c>
      <x:c r="B8" s="11" t="str">
        <x:v>Complete buyer web and admin gaps</x:v>
      </x:c>
      <x:c r="C8" s="11" t="str">
        <x:v>Next</x:v>
      </x:c>
      <x:c r="D8" s="11" t="str">
        <x:v>Finish account activity, gates, fee UI, step-up integration, missing queues and browser journeys.</x:v>
      </x:c>
      <x:c r="E8" s="11" t="str">
        <x:v>Tasks 005 and 007 accepted.</x:v>
      </x:c>
      <x:c r="F8" s="11" t="str">
        <x:v>Antigravity</x:v>
      </x:c>
      <x:c r="G8" s="43" t="str">
        <x:v>P0</x:v>
      </x:c>
    </x:row>
    <x:row r="9" ht="24" hidden="0" customHeight="1">
      <x:c r="A9" s="43" t="n">
        <x:v>4</x:v>
      </x:c>
      <x:c r="B9" s="11" t="str">
        <x:v>Build identity and KYC foundation</x:v>
      </x:c>
      <x:c r="C9" s="11" t="str">
        <x:v>After core bidding</x:v>
      </x:c>
      <x:c r="D9" s="11" t="str">
        <x:v>Implement production sessions, fake providers, UAE PASS adapter boundary, KYC lifecycle and admin step-up.</x:v>
      </x:c>
      <x:c r="E9" s="11" t="str">
        <x:v>Task 008 security matrix passes.</x:v>
      </x:c>
      <x:c r="F9" s="11" t="str">
        <x:v>Backend integration owner</x:v>
      </x:c>
      <x:c r="G9" s="43" t="str">
        <x:v>P0</x:v>
      </x:c>
    </x:row>
    <x:row r="10" ht="24" hidden="0" customHeight="1">
      <x:c r="A10" s="43" t="n">
        <x:v>5</x:v>
      </x:c>
      <x:c r="B10" s="11" t="str">
        <x:v>Build dummy payments and financial ledger</x:v>
      </x:c>
      <x:c r="C10" s="11" t="str">
        <x:v>Parallel after identity model</x:v>
      </x:c>
      <x:c r="D10" s="11" t="str">
        <x:v>Implement balanced ledger, dummy hosted checkout, webhook inbox, refunds and eligibility events.</x:v>
      </x:c>
      <x:c r="E10" s="11" t="str">
        <x:v>Task 009 ledger and replay tests pass.</x:v>
      </x:c>
      <x:c r="F10" s="11" t="str">
        <x:v>Payments owner</x:v>
      </x:c>
      <x:c r="G10" s="43" t="str">
        <x:v>P0</x:v>
      </x:c>
    </x:row>
    <x:row r="11" ht="15" hidden="0" customHeight="1">
      <x:c r="A11" s="43" t="n">
        <x:v>6</x:v>
      </x:c>
      <x:c r="B11" s="11" t="str">
        <x:v>Build transactional notifications</x:v>
      </x:c>
      <x:c r="C11" s="11" t="str">
        <x:v>After stable domain events</x:v>
      </x:c>
      <x:c r="D11" s="11" t="str">
        <x:v>Create intents, localized templates, development sinks, preferences and reminders.</x:v>
      </x:c>
      <x:c r="E11" s="11" t="str">
        <x:v>Task 010 dedupe and scheduler tests pass.</x:v>
      </x:c>
      <x:c r="F11" s="11" t="str">
        <x:v>Codex</x:v>
      </x:c>
      <x:c r="G11" s="43" t="str">
        <x:v>P1</x:v>
      </x:c>
    </x:row>
    <x:row r="12" ht="15" hidden="0" customHeight="1">
      <x:c r="A12" s="43" t="n">
        <x:v>7</x:v>
      </x:c>
      <x:c r="B12" s="11" t="str">
        <x:v>Production observability and load proof</x:v>
      </x:c>
      <x:c r="C12" s="11" t="str">
        <x:v>After integrated journeys</x:v>
      </x:c>
      <x:c r="D12" s="11" t="str">
        <x:v>Instrument, load test, inject failures and execute auction runbooks.</x:v>
      </x:c>
      <x:c r="E12" s="11" t="str">
        <x:v>Task 011 targets and recovery evidence accepted.</x:v>
      </x:c>
      <x:c r="F12" s="11" t="str">
        <x:v>Codex / SRE</x:v>
      </x:c>
      <x:c r="G12" s="43" t="str">
        <x:v>P0</x:v>
      </x:c>
    </x:row>
    <x:row r="13" ht="24" hidden="0" customHeight="1">
      <x:c r="A13" s="43" t="n">
        <x:v>8</x:v>
      </x:c>
      <x:c r="B13" s="11" t="str">
        <x:v>Controlled test auction</x:v>
      </x:c>
      <x:c r="C13" s="11" t="str">
        <x:v>Final MVP gate</x:v>
      </x:c>
      <x:c r="D13" s="11" t="str">
        <x:v>Run synthetic then invited auction with reconciliation, accessibility, Arabic, legal, finance and security review.</x:v>
      </x:c>
      <x:c r="E13" s="11" t="str">
        <x:v>Signed go/no-go and reconciled release evidence.</x:v>
      </x:c>
      <x:c r="F13" s="11" t="str">
        <x:v>Product owner</x:v>
      </x:c>
      <x:c r="G13" s="43" t="str">
        <x:v>P0</x:v>
      </x:c>
    </x:row>
  </x:sheetData>
  <x:conditionalFormatting sqref="G6:G13">
    <x:cfRule type="containsText" dxfId="14" priority="1" operator="containsText" text="P0"/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2" hidden="0" customWidth="1"/>
    <x:col min="2" max="2" width="58" hidden="0" customWidth="1"/>
    <x:col min="3" max="3" width="14" hidden="0" customWidth="1"/>
    <x:col min="4" max="4" width="24" hidden="0" customWidth="1"/>
    <x:col min="5" max="5" width="68" hidden="0" customWidth="1"/>
    <x:col min="6" max="6" width="26" hidden="0" customWidth="1"/>
    <x:col min="7" max="7" width="24" hidden="0" customWidth="1"/>
  </x:cols>
  <x:sheetData>
    <x:row r="1">
      <x:c r="A1" s="1" t="str">
        <x:v>Risks, environments and links</x:v>
      </x:c>
    </x:row>
    <x:row r="2">
      <x:c r="A2" s="2" t="str">
        <x:v>Open delivery risks and current shared preview endpoints. No production environment exists yet.</x:v>
      </x:c>
    </x:row>
    <x:row r="5" ht="32" customHeight="1">
      <x:c r="A5" s="35" t="str">
        <x:v>Risk ID</x:v>
      </x:c>
      <x:c r="B5" s="36" t="str">
        <x:v>Risk</x:v>
      </x:c>
      <x:c r="C5" s="36" t="str">
        <x:v>Severity</x:v>
      </x:c>
      <x:c r="D5" s="36" t="str">
        <x:v>State</x:v>
      </x:c>
      <x:c r="E5" s="36" t="str">
        <x:v>Mitigation / next action</x:v>
      </x:c>
      <x:c r="F5" s="36" t="str">
        <x:v>Owner</x:v>
      </x:c>
      <x:c r="G5" s="37" t="str">
        <x:v>Related work</x:v>
      </x:c>
    </x:row>
    <x:row r="6" ht="15" hidden="0" customHeight="1">
      <x:c r="A6" s="11" t="str">
        <x:v>R-001</x:v>
      </x:c>
      <x:c r="B6" s="11" t="str">
        <x:v>Mobile may show rejected/timeout bids as accepted</x:v>
      </x:c>
      <x:c r="C6" s="11" t="str">
        <x:v>Critical</x:v>
      </x:c>
      <x:c r="D6" s="11" t="str">
        <x:v>Open; repair in progress</x:v>
      </x:c>
      <x:c r="E6" s="11" t="str">
        <x:v>Remove simulation; authoritative state machine; same-command reconciliation</x:v>
      </x:c>
      <x:c r="F6" s="11" t="str">
        <x:v>Antigravity</x:v>
      </x:c>
      <x:c r="G6" s="11" t="str">
        <x:v>Task 006</x:v>
      </x:c>
    </x:row>
    <x:row r="7" ht="24" hidden="0" customHeight="1">
      <x:c r="A7" s="11" t="str">
        <x:v>R-002</x:v>
      </x:c>
      <x:c r="B7" s="11" t="str">
        <x:v>Mobile realtime contract and reconnect handling incomplete</x:v>
      </x:c>
      <x:c r="C7" s="11" t="str">
        <x:v>High</x:v>
      </x:c>
      <x:c r="D7" s="11" t="str">
        <x:v>Open; uncommitted rewrite observed</x:v>
      </x:c>
      <x:c r="E7" s="11" t="str">
        <x:v>Validate real event names; acknowledgements; sequence dedupe/gap sync; foreground recovery</x:v>
      </x:c>
      <x:c r="F7" s="11" t="str">
        <x:v>Antigravity</x:v>
      </x:c>
      <x:c r="G7" s="11" t="str">
        <x:v>Task 006</x:v>
      </x:c>
    </x:row>
    <x:row r="8" ht="15" hidden="0" customHeight="1">
      <x:c r="A8" s="11" t="str">
        <x:v>R-003</x:v>
      </x:c>
      <x:c r="B8" s="11" t="str">
        <x:v>Identity and KYC are not production-ready</x:v>
      </x:c>
      <x:c r="C8" s="11" t="str">
        <x:v>Critical</x:v>
      </x:c>
      <x:c r="D8" s="11" t="str">
        <x:v>Not started</x:v>
      </x:c>
      <x:c r="E8" s="11" t="str">
        <x:v>Start provider-independent sessions/KYC and UAE PASS onboarding</x:v>
      </x:c>
      <x:c r="F8" s="11" t="str">
        <x:v>Identity owner</x:v>
      </x:c>
      <x:c r="G8" s="11" t="str">
        <x:v>Task 008</x:v>
      </x:c>
    </x:row>
    <x:row r="9" ht="15" hidden="0" customHeight="1">
      <x:c r="A9" s="11" t="str">
        <x:v>R-004</x:v>
      </x:c>
      <x:c r="B9" s="11" t="str">
        <x:v>No balanced financial ledger or replay-safe payment flow</x:v>
      </x:c>
      <x:c r="C9" s="11" t="str">
        <x:v>Critical</x:v>
      </x:c>
      <x:c r="D9" s="11" t="str">
        <x:v>Not started</x:v>
      </x:c>
      <x:c r="E9" s="11" t="str">
        <x:v>Build dummy provider only after ledger/inbox invariants</x:v>
      </x:c>
      <x:c r="F9" s="11" t="str">
        <x:v>Payments owner</x:v>
      </x:c>
      <x:c r="G9" s="11" t="str">
        <x:v>Task 009</x:v>
      </x:c>
    </x:row>
    <x:row r="10" ht="15" hidden="0" customHeight="1">
      <x:c r="A10" s="11" t="str">
        <x:v>R-005</x:v>
      </x:c>
      <x:c r="B10" s="11" t="str">
        <x:v>Admin high-risk actions lack step-up authentication</x:v>
      </x:c>
      <x:c r="C10" s="11" t="str">
        <x:v>High</x:v>
      </x:c>
      <x:c r="D10" s="11" t="str">
        <x:v>Open</x:v>
      </x:c>
      <x:c r="E10" s="11" t="str">
        <x:v>Implement Task 008 step-up and bind to approvals/finance/control commands</x:v>
      </x:c>
      <x:c r="F10" s="11" t="str">
        <x:v>Identity/Admin owners</x:v>
      </x:c>
      <x:c r="G10" s="11" t="str">
        <x:v>Tasks 007–008</x:v>
      </x:c>
    </x:row>
    <x:row r="11" ht="15" hidden="0" customHeight="1">
      <x:c r="A11" s="11" t="str">
        <x:v>R-006</x:v>
      </x:c>
      <x:c r="B11" s="11" t="str">
        <x:v>No production-like load/failure evidence</x:v>
      </x:c>
      <x:c r="C11" s="11" t="str">
        <x:v>High</x:v>
      </x:c>
      <x:c r="D11" s="11" t="str">
        <x:v>Open</x:v>
      </x:c>
      <x:c r="E11" s="11" t="str">
        <x:v>Build load harness, inject failures and archive results</x:v>
      </x:c>
      <x:c r="F11" s="11" t="str">
        <x:v>SRE owner</x:v>
      </x:c>
      <x:c r="G11" s="11" t="str">
        <x:v>Task 011</x:v>
      </x:c>
    </x:row>
    <x:row r="12" ht="15" hidden="0" customHeight="1">
      <x:c r="A12" s="11" t="str">
        <x:v>R-007</x:v>
      </x:c>
      <x:c r="B12" s="11" t="str">
        <x:v>Arabic copy and critical RTL paths lack native signoff</x:v>
      </x:c>
      <x:c r="C12" s="11" t="str">
        <x:v>High</x:v>
      </x:c>
      <x:c r="D12" s="11" t="str">
        <x:v>Open</x:v>
      </x:c>
      <x:c r="E12" s="11" t="str">
        <x:v>Complete localization then obtain native Arabic QA approval</x:v>
      </x:c>
      <x:c r="F12" s="11" t="str">
        <x:v>Product/QA</x:v>
      </x:c>
      <x:c r="G12" s="11" t="str">
        <x:v>Tasks 005–007,012</x:v>
      </x:c>
    </x:row>
    <x:row r="13" ht="15" hidden="0" customHeight="1">
      <x:c r="A13" s="11" t="str">
        <x:v>R-008</x:v>
      </x:c>
      <x:c r="B13" s="11" t="str">
        <x:v>Current UI direction may require later redesign</x:v>
      </x:c>
      <x:c r="C13" s="11" t="str">
        <x:v>Medium</x:v>
      </x:c>
      <x:c r="D13" s="11" t="str">
        <x:v>Deferred by product owner</x:v>
      </x:c>
      <x:c r="E13" s="11" t="str">
        <x:v>Keep behavior/components modular; schedule a focused design review</x:v>
      </x:c>
      <x:c r="F13" s="11" t="str">
        <x:v>Product/Design</x:v>
      </x:c>
      <x:c r="G13" s="11" t="str">
        <x:v>Post-core stabilization</x:v>
      </x:c>
    </x:row>
    <x:row r="14" ht="15" hidden="0" customHeight="1">
      <x:c r="A14" s="11" t="str">
        <x:v>R-009</x:v>
      </x:c>
      <x:c r="B14" s="11" t="str">
        <x:v>Current state documentation is stale during parallel work</x:v>
      </x:c>
      <x:c r="C14" s="11" t="str">
        <x:v>Medium</x:v>
      </x:c>
      <x:c r="D14" s="11" t="str">
        <x:v>Open</x:v>
      </x:c>
      <x:c r="E14" s="11" t="str">
        <x:v>Update canonical state at every clean task handoff</x:v>
      </x:c>
      <x:c r="F14" s="11" t="str">
        <x:v>All owners</x:v>
      </x:c>
      <x:c r="G14" s="11" t="str">
        <x:v>Repository process</x:v>
      </x:c>
    </x:row>
    <x:row r="15" ht="15" hidden="0" customHeight="1">
      <x:c r="A15" s="11" t="str">
        <x:v>R-010</x:v>
      </x:c>
      <x:c r="B15" s="11" t="str">
        <x:v>UAE PASS and production gateway onboarding can gate launch</x:v>
      </x:c>
      <x:c r="C15" s="11" t="str">
        <x:v>High</x:v>
      </x:c>
      <x:c r="D15" s="11" t="str">
        <x:v>External dependency</x:v>
      </x:c>
      <x:c r="E15" s="11" t="str">
        <x:v>Start approvals early; keep provider adapters and approved fallback path</x:v>
      </x:c>
      <x:c r="F15" s="11" t="str">
        <x:v>Product owner</x:v>
      </x:c>
      <x:c r="G15" s="11" t="str">
        <x:v>Tasks 008–009</x:v>
      </x:c>
    </x:row>
    <x:row r="16"/>
    <x:row r="17"/>
    <x:row r="18" ht="15" hidden="0" customHeight="1">
      <x:c r="A18" s="35" t="str">
        <x:v>Resource</x:v>
      </x:c>
      <x:c r="B18" s="36" t="str">
        <x:v>URL</x:v>
      </x:c>
      <x:c r="C18" s="37" t="str">
        <x:v>Purpose</x:v>
      </x:c>
    </x:row>
    <x:row r="19" ht="24" hidden="0" customHeight="1">
      <x:c r="A19" s="11" t="str">
        <x:v>GitHub repository</x:v>
      </x:c>
      <x:c r="B19" s="11" t="str">
        <x:v>https://github.com/Maazkhan88/Pioneer-Auctions</x:v>
      </x:c>
      <x:c r="C19" s="11" t="str">
        <x:v>Source repository</x:v>
      </x:c>
    </x:row>
    <x:row r="20" ht="24" hidden="0" customHeight="1">
      <x:c r="A20" s="11" t="str">
        <x:v>Buyer web preview</x:v>
      </x:c>
      <x:c r="B20" s="11" t="str">
        <x:v>https://pioneer-auctions-web.maaz-n-khan.workers.dev</x:v>
      </x:c>
      <x:c r="C20" s="11" t="str">
        <x:v>Remote buyer UI preview</x:v>
      </x:c>
    </x:row>
    <x:row r="21" ht="24" hidden="0" customHeight="1">
      <x:c r="A21" s="11" t="str">
        <x:v>Admin preview</x:v>
      </x:c>
      <x:c r="B21" s="11" t="str">
        <x:v>https://pioneer-auctions-admin.maaz-n-khan.workers.dev</x:v>
      </x:c>
      <x:c r="C21" s="11" t="str">
        <x:v>Remote admin UI preview</x:v>
      </x:c>
    </x:row>
    <x:row r="22" ht="24" hidden="0" customHeight="1">
      <x:c r="A22" s="11" t="str">
        <x:v>Preview API</x:v>
      </x:c>
      <x:c r="B22" s="11" t="str">
        <x:v>https://pioneer-auctions-api.maaz-n-khan.workers.dev</x:v>
      </x:c>
      <x:c r="C22" s="11" t="str">
        <x:v>Dummy/public preview API</x:v>
      </x:c>
    </x:row>
    <x:row r="23" ht="24" hidden="0" customHeight="1">
      <x:c r="A23" s="11" t="str">
        <x:v>Active mobile branch</x:v>
      </x:c>
      <x:c r="B23" s="11" t="str">
        <x:v>https://github.com/Maazkhan88/Pioneer-Auctions/tree/agent/task-006-mobile-buyer-loop</x:v>
      </x:c>
      <x:c r="C23" s="11" t="str">
        <x:v>Task 006 source</x:v>
      </x:c>
    </x:row>
  </x:sheetData>
  <x:conditionalFormatting sqref="C6:C15">
    <x:cfRule type="containsText" dxfId="15" priority="1" operator="containsText" text="Critical"/>
    <x:cfRule type="containsText" dxfId="16" priority="2" operator="containsText" text="High"/>
  </x:conditionalFormatting>
  <x:pageMargins left="0.7" right="0.7" top="0.75" bottom="0.75" header="0.3" footer="0.3"/>
</x:worksheet>
</file>